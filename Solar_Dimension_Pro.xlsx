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277cae85554c87" /></Relationships>
</file>

<file path=xl/workbook.xml><?xml version="1.0" encoding="utf-8"?>
<x:workbook xmlns:x="http://schemas.openxmlformats.org/spreadsheetml/2006/main">
  <x:sheets>
    <x:sheet xmlns:r="http://schemas.openxmlformats.org/officeDocument/2006/relationships" name="Accueil" sheetId="1" r:id="Rfa0e4e13a78e4411"/>
    <x:sheet xmlns:r="http://schemas.openxmlformats.org/officeDocument/2006/relationships" name="Projet" sheetId="2" r:id="Rdbd244d1ed1c4269"/>
    <x:sheet xmlns:r="http://schemas.openxmlformats.org/officeDocument/2006/relationships" name="Charges" sheetId="3" r:id="Rf737b56da16e41ff"/>
    <x:sheet xmlns:r="http://schemas.openxmlformats.org/officeDocument/2006/relationships" name="Climat" sheetId="4" r:id="Rf2a3eb69225e403b"/>
    <x:sheet xmlns:r="http://schemas.openxmlformats.org/officeDocument/2006/relationships" name="Catalogue PV" sheetId="5" r:id="R9afeb4000fba49d1"/>
    <x:sheet xmlns:r="http://schemas.openxmlformats.org/officeDocument/2006/relationships" name="Stockage" sheetId="6" r:id="R79ef2fb91ff546d2"/>
    <x:sheet xmlns:r="http://schemas.openxmlformats.org/officeDocument/2006/relationships" name="Conversion" sheetId="7" r:id="Rb72d523443984153"/>
    <x:sheet xmlns:r="http://schemas.openxmlformats.org/officeDocument/2006/relationships" name="Cables - protections" sheetId="8" r:id="Rbd45867ae26049c6"/>
    <x:sheet xmlns:r="http://schemas.openxmlformats.org/officeDocument/2006/relationships" name="Calculs" sheetId="9" r:id="R6ae098a299374036"/>
    <x:sheet xmlns:r="http://schemas.openxmlformats.org/officeDocument/2006/relationships" name="BOM" sheetId="10" r:id="R1cc06f65bba842a4"/>
    <x:sheet xmlns:r="http://schemas.openxmlformats.org/officeDocument/2006/relationships" name="Rapport" sheetId="11" r:id="Rbc380a0fad1d41ee"/>
    <x:sheet xmlns:r="http://schemas.openxmlformats.org/officeDocument/2006/relationships" name="Guide - première utilisation" sheetId="12" r:id="Ra693a7de3e7143f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0"/>
    <x:numFmt numFmtId="202" formatCode="#,##0.00"/>
    <x:numFmt numFmtId="203" formatCode="#,##0.0"/>
    <x:numFmt numFmtId="204" formatCode="0%"/>
    <x:numFmt numFmtId="205" formatCode="0"/>
    <x:numFmt numFmtId="206" formatCode="#,##0"/>
  </x:numFmts>
  <x:fonts count="52">
    <x:font>
      <x:sz val="11"/>
      <x:name val="Carlito"/>
    </x:font>
    <x:font>
      <x:sz val="10"/>
      <x:color rgb="FF243746"/>
      <x:name val="Arial"/>
    </x:font>
    <x:font>
      <x:b/>
      <x:sz val="18"/>
      <x:color rgb="FFFFFFFF"/>
      <x:name val="Arial"/>
    </x:font>
    <x:font>
      <x:b/>
      <x:sz val="12"/>
      <x:color rgb="FFFFFFFF"/>
      <x:name val="Arial"/>
    </x:font>
    <x:font>
      <x:b/>
      <x:sz val="11"/>
      <x:color rgb="FFFFFFFF"/>
      <x:name val="Arial"/>
    </x:font>
    <x:font>
      <x:sz val="10"/>
      <x:color rgb="FF202020"/>
      <x:name val="Arial"/>
    </x:font>
    <x:font>
      <x:b/>
      <x:sz val="10"/>
      <x:color rgb="FF7F2704"/>
      <x:name val="Arial"/>
    </x:font>
    <x:font>
      <x:sz val="10"/>
      <x:color rgb="FF1F4E79"/>
      <x:name val="Arial"/>
    </x:font>
    <x:font>
      <x:b/>
      <x:sz val="10"/>
      <x:color rgb="FFFFFFFF"/>
      <x:name val="Arial"/>
    </x:font>
    <x:font>
      <x:b/>
      <x:sz val="11"/>
      <x:color rgb="FFFFFFFF"/>
      <x:name val="Carlito"/>
    </x:font>
    <x:font>
      <x:b/>
      <x:sz val="11"/>
      <x:color rgb="FF7F2704"/>
      <x:name val="Carlito"/>
    </x:font>
    <x:font>
      <x:sz val="10"/>
      <x:color rgb="FF7F2704"/>
      <x:name val="Arial"/>
    </x:font>
    <x:font>
      <x:b/>
      <x:sz val="10"/>
      <x:color rgb="FF202020"/>
      <x:name val="Arial"/>
    </x:font>
    <x:font>
      <x:sz val="9"/>
      <x:color rgb="FF243746"/>
      <x:name val="Arial"/>
    </x:font>
    <x:font>
      <x:sz val="9"/>
      <x:color rgb="FF1F4E79"/>
      <x:name val="Arial"/>
    </x:font>
    <x:font>
      <x:b/>
      <x:sz val="9"/>
      <x:color rgb="FFFFFFFF"/>
      <x:name val="Arial"/>
    </x:font>
    <x:font>
      <x:b/>
      <x:sz val="12"/>
      <x:color rgb="FF15324B"/>
      <x:name val="Arial"/>
    </x:font>
    <x:font>
      <x:b/>
      <x:sz val="11"/>
      <x:color rgb="FF15324B"/>
      <x:name val="Arial"/>
    </x:font>
    <x:font>
      <x:b/>
      <x:sz val="11"/>
      <x:color rgb="FF15324B"/>
      <x:name val="Carlito"/>
    </x:font>
    <x:font>
      <x:b/>
      <x:sz val="9"/>
      <x:color rgb="FF7F2704"/>
      <x:name val="Arial"/>
    </x:font>
    <x:font>
      <x:b/>
      <x:sz val="22"/>
      <x:color rgb="FFFFFFFF"/>
      <x:name val="Arial"/>
    </x:font>
    <x:font>
      <x:b/>
      <x:sz val="16"/>
      <x:color rgb="FFFFFFFF"/>
      <x:name val="Arial"/>
    </x:font>
    <x:font>
      <x:b/>
      <x:sz val="9"/>
      <x:color rgb="FF9ADFD5"/>
      <x:name val="Arial"/>
    </x:font>
    <x:font>
      <x:b/>
      <x:sz val="9"/>
      <x:color rgb="FF243746"/>
      <x:name val="Arial"/>
    </x:font>
    <x:font>
      <x:b/>
      <x:sz val="9"/>
      <x:color rgb="FF176B87"/>
      <x:name val="Arial"/>
    </x:font>
    <x:font>
      <x:b/>
      <x:sz val="10"/>
      <x:color rgb="FF7F6000"/>
      <x:name val="Arial"/>
    </x:font>
    <x:font>
      <x:b/>
      <x:sz val="10"/>
      <x:color rgb="FF604B00"/>
      <x:name val="Arial"/>
    </x:font>
    <x:font>
      <x:sz val="8"/>
      <x:color rgb="FF243746"/>
      <x:name val="Arial"/>
    </x:font>
    <x:font>
      <x:b/>
      <x:sz val="9"/>
      <x:color rgb="FF604B00"/>
      <x:name val="Arial"/>
    </x:font>
    <x:font>
      <x:b/>
      <x:sz val="10"/>
      <x:color rgb="FF243746"/>
      <x:name val="Arial"/>
    </x:font>
    <x:font>
      <x:sz val="11"/>
      <x:color rgb="FF7F2704"/>
      <x:name val="Carlito"/>
    </x:font>
    <x:font>
      <x:b/>
      <x:sz val="8"/>
      <x:color rgb="FFFFFFFF"/>
      <x:name val="Arial"/>
    </x:font>
    <x:font>
      <x:sz val="9"/>
      <x:color rgb="FF25324B"/>
      <x:name val="Aptos"/>
    </x:font>
    <x:font>
      <x:b/>
      <x:sz val="10"/>
      <x:color rgb="FFFFFFFF"/>
      <x:name val="Aptos"/>
    </x:font>
    <x:font>
      <x:b/>
      <x:sz val="9"/>
      <x:color rgb="FFFFFFFF"/>
      <x:name val="Aptos"/>
    </x:font>
    <x:font>
      <x:sz val="9"/>
      <x:color rgb="FF7A3E00"/>
      <x:name val="Aptos"/>
    </x:font>
    <x:font>
      <x:b/>
      <x:sz val="24"/>
      <x:color rgb="FFFFFFFF"/>
      <x:name val="Aptos Display"/>
    </x:font>
    <x:font>
      <x:b/>
      <x:sz val="10"/>
      <x:color rgb="FF69758C"/>
      <x:name val="Aptos"/>
    </x:font>
    <x:font>
      <x:b/>
      <x:sz val="17"/>
      <x:color rgb="FF172B4D"/>
      <x:name val="Aptos Display"/>
    </x:font>
    <x:font>
      <x:sz val="12"/>
      <x:color rgb="FF25324B"/>
      <x:name val="Aptos"/>
    </x:font>
    <x:font>
      <x:b/>
      <x:sz val="12"/>
      <x:color rgb="FF25324B"/>
      <x:name val="Aptos"/>
    </x:font>
    <x:font>
      <x:b/>
      <x:sz val="9"/>
      <x:color rgb="FFB8C7E7"/>
      <x:name val="Aptos"/>
    </x:font>
    <x:font>
      <x:b/>
      <x:sz val="21"/>
      <x:color rgb="FF3157D5"/>
      <x:name val="Aptos Display"/>
    </x:font>
    <x:font>
      <x:b/>
      <x:sz val="11"/>
      <x:color rgb="FFFFFFFF"/>
      <x:name val="Aptos"/>
    </x:font>
    <x:font>
      <x:b/>
      <x:sz val="11"/>
      <x:color rgb="FF25324B"/>
      <x:name val="Aptos"/>
    </x:font>
    <x:font>
      <x:b/>
      <x:sz val="10"/>
      <x:color rgb="FF674500"/>
      <x:name val="Aptos"/>
    </x:font>
    <x:font>
      <x:b/>
      <x:sz val="10"/>
      <x:color rgb="FF3157D5"/>
      <x:name val="Aptos"/>
    </x:font>
    <x:font>
      <x:b/>
      <x:sz val="12"/>
      <x:color rgb="FFFFFFFF"/>
      <x:name val="Aptos"/>
    </x:font>
    <x:font>
      <x:sz val="10"/>
      <x:color rgb="FF25324B"/>
      <x:name val="Aptos"/>
    </x:font>
    <x:font>
      <x:b/>
      <x:sz val="10"/>
      <x:color rgb="FF25324B"/>
      <x:name val="Aptos"/>
    </x:font>
    <x:font>
      <x:sz val="8"/>
      <x:color rgb="FF172B4D"/>
      <x:name val="Aptos"/>
    </x:font>
    <x:font>
      <x:b/>
      <x:sz val="16"/>
      <x:color rgb="FFFFFFFF"/>
      <x:name val="Aptos Display"/>
    </x:font>
  </x:fonts>
  <x:fills count="145">
    <x:fill>
      <x:patternFill patternType="none"/>
    </x:fill>
    <x:fill>
      <x:patternFill patternType="gray125"/>
    </x:fill>
    <x:fill>
      <x:patternFill patternType="solid">
        <x:fgColor rgb="FF16324F"/>
      </x:patternFill>
    </x:fill>
    <x:fill>
      <x:patternFill patternType="solid">
        <x:fgColor rgb="FF2A9D8F"/>
      </x:patternFill>
    </x:fill>
    <x:fill>
      <x:patternFill patternType="solid">
        <x:fgColor rgb="FFEAF3F7"/>
      </x:patternFill>
    </x:fill>
    <x:fill>
      <x:patternFill patternType="solid">
        <x:fgColor rgb="FFFCE4D6"/>
      </x:patternFill>
    </x:fill>
    <x:fill>
      <x:patternFill patternType="solid">
        <x:fgColor rgb="FFFFF2CC"/>
      </x:patternFill>
    </x:fill>
    <x:fill>
      <x:patternFill patternType="solid">
        <x:fgColor rgb="FFF2F4F5"/>
      </x:patternFill>
    </x:fill>
    <x:fill>
      <x:patternFill patternType="solid">
        <x:fgColor rgb="FF1F6E8C"/>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15324B"/>
      </x:patternFill>
    </x:fill>
    <x:fill>
      <x:patternFill patternType="solid">
        <x:fgColor rgb="FFF1F5F8"/>
      </x:patternFill>
    </x:fill>
    <x:fill>
      <x:patternFill patternType="solid">
        <x:fgColor rgb="FFFFFFFF"/>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15324B"/>
      </x:patternFill>
    </x:fill>
    <x:fill>
      <x:patternFill patternType="solid">
        <x:fgColor rgb="FFF1F5F8"/>
      </x:patternFill>
    </x:fill>
    <x:fill>
      <x:patternFill patternType="solid">
        <x:fgColor rgb="FFFFFFFF"/>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FFF2CC"/>
      </x:patternFill>
    </x:fill>
    <x:fill>
      <x:patternFill patternType="solid">
        <x:fgColor rgb="FFEEF2F4"/>
      </x:patternFill>
    </x:fill>
    <x:fill>
      <x:patternFill patternType="solid">
        <x:fgColor rgb="FF159A8C"/>
      </x:patternFill>
    </x:fill>
    <x:fill>
      <x:patternFill patternType="solid">
        <x:fgColor rgb="FFE9F4F7"/>
      </x:patternFill>
    </x:fill>
    <x:fill>
      <x:patternFill patternType="solid">
        <x:fgColor rgb="FF176B87"/>
      </x:patternFill>
    </x:fill>
    <x:fill>
      <x:patternFill patternType="solid">
        <x:fgColor rgb="FFF3C969"/>
      </x:patternFill>
    </x:fill>
    <x:fill>
      <x:patternFill patternType="solid">
        <x:fgColor rgb="FFFFFFFF"/>
      </x:patternFill>
    </x:fill>
    <x:fill>
      <x:patternFill patternType="solid">
        <x:fgColor rgb="FFF1F5F8"/>
      </x:patternFill>
    </x:fill>
    <x:fill>
      <x:patternFill patternType="solid">
        <x:fgColor rgb="FF15324B"/>
      </x:patternFill>
    </x:fill>
    <x:fill>
      <x:patternFill patternType="solid">
        <x:fgColor rgb="FFFCE4D6"/>
      </x:patternFill>
    </x:fill>
    <x:fill>
      <x:patternFill patternType="solid">
        <x:fgColor rgb="FF19A7A1"/>
      </x:patternFill>
    </x:fill>
    <x:fill>
      <x:patternFill patternType="solid">
        <x:fgColor rgb="FFF4F7FB"/>
      </x:patternFill>
    </x:fill>
    <x:fill>
      <x:patternFill patternType="solid">
        <x:fgColor rgb="FF172B4D"/>
      </x:patternFill>
    </x:fill>
    <x:fill>
      <x:patternFill patternType="solid">
        <x:fgColor rgb="FFEAF0FF"/>
      </x:patternFill>
    </x:fill>
    <x:fill>
      <x:patternFill patternType="solid">
        <x:fgColor rgb="FFFFF1DF"/>
      </x:patternFill>
    </x:fill>
    <x:fill>
      <x:patternFill patternType="solid">
        <x:fgColor rgb="FFFFFFFF"/>
      </x:patternFill>
    </x:fill>
    <x:fill>
      <x:patternFill patternType="solid">
        <x:fgColor rgb="FF3157D5"/>
      </x:patternFill>
    </x:fill>
    <x:fill>
      <x:patternFill patternType="solid">
        <x:fgColor rgb="FFFFF0C2"/>
      </x:patternFill>
    </x:fill>
  </x:fills>
  <x:borders count="1">
    <x:border>
      <x:left/>
      <x:right/>
      <x:top/>
      <x:bottom/>
      <x:diagonal/>
    </x:border>
  </x:borders>
  <x:cellStyleXfs count="1">
    <x:xf numFmtId="0" fontId="0" fillId="0" borderId="0"/>
  </x:cellStyleXfs>
  <x:cellXfs count="117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4" fillId="3" borderId="0" xfId="0" applyNumberFormat="1" applyFont="1" applyFill="1" applyBorder="1"/>
    <x:xf numFmtId="0" fontId="4" fillId="3" borderId="0" xfId="0" applyNumberFormat="1" applyFont="1" applyFill="1" applyBorder="1" applyAlignment="1">
      <x:alignment vertical="center"/>
    </x:xf>
    <x:xf numFmtId="0" fontId="1"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0" fontId="1"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6" borderId="0" xfId="0" applyNumberFormat="1" applyFont="1" applyFill="1" applyBorder="1" applyAlignment="1">
      <x:alignment wrapText="1"/>
    </x:xf>
    <x:xf numFmtId="0" fontId="7" fillId="6" borderId="0" xfId="0" applyNumberFormat="1" applyFont="1" applyFill="1" applyBorder="1" applyAlignment="1">
      <x:alignment wrapText="1"/>
    </x:xf>
    <x:xf numFmtId="201" fontId="7" fillId="6" borderId="0" xfId="0" applyNumberFormat="1" applyFont="1" applyFill="1" applyBorder="1" applyAlignment="1">
      <x:alignment wrapText="1"/>
    </x:xf>
    <x:xf numFmtId="200" fontId="7" fillId="6" borderId="0" xfId="0" applyNumberFormat="1" applyFont="1" applyFill="1" applyBorder="1" applyAlignment="1">
      <x:alignment wrapText="1"/>
    </x:xf>
    <x:xf numFmtId="202" fontId="7" fillId="6" borderId="0"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1" fillId="7" borderId="0" xfId="0" applyNumberFormat="1" applyFont="1" applyFill="1" applyBorder="1"/>
    <x:xf numFmtId="0" fontId="1" fillId="7" borderId="0" xfId="0" applyNumberFormat="1" applyFont="1" applyFill="1" applyBorder="1" applyAlignment="1">
      <x:alignment wrapText="1"/>
    </x:xf>
    <x:xf numFmtId="0" fontId="1"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1" fillId="6" borderId="0" xfId="0" applyNumberFormat="1" applyFont="1" applyFill="1" applyBorder="1"/>
    <x:xf numFmtId="0" fontId="7" fillId="6" borderId="0" xfId="0" applyNumberFormat="1" applyFont="1" applyFill="1" applyBorder="1"/>
    <x:xf numFmtId="0" fontId="0" fillId="2" borderId="0" xfId="0" applyNumberFormat="1" applyFont="1" applyFill="1" applyBorder="1"/>
    <x:xf numFmtId="0" fontId="9" fillId="2" borderId="0" xfId="0" applyNumberFormat="1" applyFont="1" applyFill="1" applyBorder="1"/>
    <x:xf numFmtId="203" fontId="5" fillId="4" borderId="0" xfId="0" applyNumberFormat="1" applyFont="1" applyFill="1" applyBorder="1"/>
    <x:xf numFmtId="203" fontId="0" fillId="0" borderId="0" xfId="0" applyNumberFormat="1" applyFont="1" applyFill="1" applyBorder="1"/>
    <x:xf numFmtId="203" fontId="9" fillId="2" borderId="0" xfId="0" applyNumberFormat="1" applyFont="1" applyFill="1" applyBorder="1"/>
    <x:xf numFmtId="204" fontId="7" fillId="6" borderId="0" xfId="0" applyNumberFormat="1" applyFont="1" applyFill="1" applyBorder="1"/>
    <x:xf numFmtId="200" fontId="7" fillId="6" borderId="0" xfId="0" applyNumberFormat="1" applyFont="1" applyFill="1" applyBorder="1"/>
    <x:xf numFmtId="0" fontId="8" fillId="2" borderId="0" xfId="0" applyNumberFormat="1" applyFont="1" applyFill="1" applyBorder="1"/>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1" fillId="5" borderId="0" xfId="0" applyNumberFormat="1" applyFont="1" applyFill="1" applyBorder="1"/>
    <x:xf numFmtId="0" fontId="11" fillId="5" borderId="0" xfId="0" applyNumberFormat="1" applyFont="1" applyFill="1" applyBorder="1" applyAlignment="1">
      <x:alignment wrapText="1"/>
    </x:xf>
    <x:xf numFmtId="0" fontId="0" fillId="4" borderId="0" xfId="0" applyNumberFormat="1" applyFont="1" applyFill="1" applyBorder="1"/>
    <x:xf numFmtId="205" fontId="5" fillId="4" borderId="0" xfId="0" applyNumberFormat="1" applyFont="1" applyFill="1" applyBorder="1"/>
    <x:xf numFmtId="0" fontId="5" fillId="4" borderId="0" xfId="0" applyNumberFormat="1" applyFont="1" applyFill="1" applyBorder="1" applyAlignment="1">
      <x:alignment wrapText="1"/>
    </x:xf>
    <x:xf numFmtId="0" fontId="8" fillId="4" borderId="0" xfId="0" applyNumberFormat="1" applyFont="1" applyFill="1" applyBorder="1"/>
    <x:xf numFmtId="0" fontId="12" fillId="4" borderId="0" xfId="0" applyNumberFormat="1" applyFont="1" applyFill="1" applyBorder="1"/>
    <x:xf numFmtId="0" fontId="1" fillId="0"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13" fillId="0" borderId="0" xfId="0" applyNumberFormat="1" applyFont="1" applyFill="1" applyBorder="1"/>
    <x:xf numFmtId="0" fontId="13" fillId="6" borderId="0" xfId="0" applyNumberFormat="1" applyFont="1" applyFill="1" applyBorder="1"/>
    <x:xf numFmtId="0" fontId="13" fillId="0" borderId="0" xfId="0" applyNumberFormat="1" applyFont="1" applyFill="1" applyBorder="1" applyAlignment="1">
      <x:alignment wrapText="1"/>
    </x:xf>
    <x:xf numFmtId="0" fontId="13" fillId="6"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200" fontId="13" fillId="0" borderId="0" xfId="0" applyNumberFormat="1" applyFont="1" applyFill="1" applyBorder="1" applyAlignment="1">
      <x:alignment vertical="center" wrapText="1"/>
    </x:xf>
    <x:xf numFmtId="200" fontId="13" fillId="6" borderId="0" xfId="0" applyNumberFormat="1" applyFont="1" applyFill="1" applyBorder="1" applyAlignment="1">
      <x:alignment vertical="center" wrapText="1"/>
    </x:xf>
    <x:xf numFmtId="205" fontId="13" fillId="0" borderId="0" xfId="0" applyNumberFormat="1" applyFont="1" applyFill="1" applyBorder="1" applyAlignment="1">
      <x:alignment vertical="center" wrapText="1"/>
    </x:xf>
    <x:xf numFmtId="205" fontId="13" fillId="6" borderId="0" xfId="0" applyNumberFormat="1" applyFont="1" applyFill="1" applyBorder="1" applyAlignment="1">
      <x:alignment vertical="center" wrapText="1"/>
    </x:xf>
    <x:xf numFmtId="0" fontId="7" fillId="9" borderId="0" xfId="0" applyNumberFormat="1" applyFont="1" applyFill="1" applyBorder="1"/>
    <x:xf numFmtId="0" fontId="1" fillId="9" borderId="0" xfId="0" applyNumberFormat="1" applyFont="1" applyFill="1" applyBorder="1"/>
    <x:xf numFmtId="0" fontId="14" fillId="9" borderId="0" xfId="0" applyNumberFormat="1" applyFont="1" applyFill="1" applyBorder="1"/>
    <x:xf numFmtId="0" fontId="14" fillId="9" borderId="0" xfId="0" applyNumberFormat="1" applyFont="1" applyFill="1" applyBorder="1" applyAlignment="1">
      <x:alignment wrapText="1"/>
    </x:xf>
    <x:xf numFmtId="0" fontId="11" fillId="10" borderId="0" xfId="0" applyNumberFormat="1" applyFont="1" applyFill="1" applyBorder="1" applyAlignment="1">
      <x:alignment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center"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13" fillId="10" borderId="0" xfId="0" applyNumberFormat="1" applyFont="1" applyFill="1" applyBorder="1" applyAlignment="1">
      <x:alignment vertical="center" wrapText="1"/>
    </x:xf>
    <x:xf numFmtId="0" fontId="0" fillId="13" borderId="0" xfId="0" applyNumberFormat="1" applyFont="1" applyFill="1" applyBorder="1"/>
    <x:xf numFmtId="0" fontId="0" fillId="13" borderId="0" xfId="0" applyNumberFormat="1" applyFont="1" applyFill="1" applyBorder="1" applyAlignment="1">
      <x:alignment vertical="center" wrapText="1"/>
    </x:xf>
    <x:xf numFmtId="0" fontId="15" fillId="13" borderId="0" xfId="0" applyNumberFormat="1" applyFont="1" applyFill="1" applyBorder="1"/>
    <x:xf numFmtId="0" fontId="15" fillId="13" borderId="0" xfId="0" applyNumberFormat="1" applyFont="1" applyFill="1" applyBorder="1" applyAlignment="1">
      <x:alignment vertical="center" wrapText="1"/>
    </x:xf>
    <x:xf numFmtId="0" fontId="15" fillId="13" borderId="0" xfId="0" applyNumberFormat="1" applyFont="1" applyFill="1" applyBorder="1" applyAlignment="1">
      <x:alignment wrapText="1"/>
    </x:xf>
    <x:xf numFmtId="0" fontId="0" fillId="12" borderId="0" xfId="0" applyNumberFormat="1" applyFont="1" applyFill="1" applyBorder="1" applyAlignment="1">
      <x:alignment vertical="center" wrapText="1"/>
    </x:xf>
    <x:xf numFmtId="0" fontId="0" fillId="10" borderId="0" xfId="0" applyNumberFormat="1" applyFont="1" applyFill="1" applyBorder="1"/>
    <x:xf numFmtId="0" fontId="13" fillId="10" borderId="0" xfId="0" applyNumberFormat="1" applyFont="1" applyFill="1" applyBorder="1"/>
    <x:xf numFmtId="0" fontId="13" fillId="10" borderId="0" xfId="0" applyNumberFormat="1" applyFont="1" applyFill="1" applyBorder="1" applyAlignment="1">
      <x:alignment wrapText="1"/>
    </x:xf>
    <x:xf numFmtId="0" fontId="1"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horizontal="center"/>
    </x:xf>
    <x:xf numFmtId="0" fontId="16" fillId="14" borderId="0" xfId="0" applyNumberFormat="1" applyFont="1" applyFill="1" applyBorder="1" applyAlignment="1">
      <x:alignment horizontal="center" vertical="center"/>
    </x:xf>
    <x:xf numFmtId="0" fontId="5" fillId="12" borderId="0" xfId="0" applyNumberFormat="1" applyFont="1" applyFill="1" applyBorder="1"/>
    <x:xf numFmtId="200" fontId="5" fillId="12" borderId="0" xfId="0" applyNumberFormat="1" applyFont="1" applyFill="1" applyBorder="1"/>
    <x:xf numFmtId="0" fontId="17" fillId="12" borderId="0" xfId="0" applyNumberFormat="1" applyFont="1" applyFill="1" applyBorder="1"/>
    <x:xf numFmtId="200" fontId="17" fillId="12" borderId="0" xfId="0" applyNumberFormat="1" applyFont="1" applyFill="1" applyBorder="1"/>
    <x:xf numFmtId="0" fontId="17" fillId="12" borderId="0" xfId="0" applyNumberFormat="1" applyFont="1" applyFill="1" applyBorder="1" applyAlignment="1">
      <x:alignment vertical="center"/>
    </x:xf>
    <x:xf numFmtId="200" fontId="17" fillId="12" borderId="0" xfId="0" applyNumberFormat="1" applyFont="1" applyFill="1" applyBorder="1" applyAlignment="1">
      <x:alignmen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vertical="center" wrapText="1"/>
    </x:xf>
    <x:xf numFmtId="0" fontId="9" fillId="11" borderId="0" xfId="0" applyNumberFormat="1" applyFont="1" applyFill="1" applyBorder="1"/>
    <x:xf numFmtId="0" fontId="18" fillId="0" borderId="0" xfId="0" applyNumberFormat="1" applyFont="1" applyFill="1" applyBorder="1"/>
    <x:xf numFmtId="0" fontId="18" fillId="9" borderId="0" xfId="0" applyNumberFormat="1" applyFont="1" applyFill="1" applyBorder="1"/>
    <x:xf numFmtId="0" fontId="0" fillId="9" borderId="0" xfId="0" applyNumberFormat="1" applyFont="1" applyFill="1" applyBorder="1"/>
    <x:xf numFmtId="0" fontId="18" fillId="12" borderId="0" xfId="0" applyNumberFormat="1" applyFont="1" applyFill="1" applyBorder="1"/>
    <x:xf numFmtId="0" fontId="18" fillId="10" borderId="0" xfId="0" applyNumberFormat="1" applyFont="1" applyFill="1" applyBorder="1"/>
    <x:xf numFmtId="0" fontId="18" fillId="10" borderId="0" xfId="0" applyNumberFormat="1" applyFont="1" applyFill="1" applyBorder="1" applyAlignment="1">
      <x:alignment wrapText="1"/>
    </x:xf>
    <x:xf numFmtId="0" fontId="0" fillId="10" borderId="0" xfId="0" applyNumberFormat="1" applyFont="1" applyFill="1" applyBorder="1" applyAlignment="1">
      <x:alignment wrapText="1"/>
    </x:xf>
    <x:xf numFmtId="0" fontId="9" fillId="15" borderId="0" xfId="0" applyNumberFormat="1" applyFont="1" applyFill="1" applyBorder="1"/>
    <x:xf numFmtId="0" fontId="1" fillId="10" borderId="0" xfId="0" applyNumberFormat="1" applyFont="1" applyFill="1" applyBorder="1"/>
    <x:xf numFmtId="0" fontId="0" fillId="16" borderId="0" xfId="0" applyNumberFormat="1" applyFont="1" applyFill="1" applyBorder="1"/>
    <x:xf numFmtId="0" fontId="19" fillId="16" borderId="0" xfId="0" applyNumberFormat="1" applyFont="1" applyFill="1" applyBorder="1"/>
    <x:xf numFmtId="0" fontId="19" fillId="16" borderId="0" xfId="0" applyNumberFormat="1" applyFont="1" applyFill="1" applyBorder="1" applyAlignment="1">
      <x:alignment wrapText="1"/>
    </x:xf>
    <x:xf numFmtId="0" fontId="19" fillId="16" borderId="0" xfId="0" applyNumberFormat="1" applyFont="1" applyFill="1" applyBorder="1" applyAlignment="1">
      <x:alignment vertical="center" wrapText="1"/>
    </x:xf>
    <x:xf numFmtId="0" fontId="14" fillId="17" borderId="0" xfId="0" applyNumberFormat="1" applyFont="1" applyFill="1" applyBorder="1" applyAlignment="1">
      <x:alignment wrapText="1"/>
    </x:xf>
    <x:xf numFmtId="0" fontId="1" fillId="18" borderId="0" xfId="0" applyNumberFormat="1" applyFont="1" applyFill="1" applyBorder="1" applyAlignment="1">
      <x:alignment vertical="center" wrapText="1"/>
    </x:xf>
    <x:xf numFmtId="0" fontId="15" fillId="19" borderId="0" xfId="0" applyNumberFormat="1" applyFont="1" applyFill="1" applyBorder="1" applyAlignment="1">
      <x:alignment vertical="center" wrapText="1"/>
    </x:xf>
    <x:xf numFmtId="0" fontId="13" fillId="20" borderId="0" xfId="0" applyNumberFormat="1" applyFont="1" applyFill="1" applyBorder="1" applyAlignment="1">
      <x:alignment vertical="center" wrapText="1"/>
    </x:xf>
    <x:xf numFmtId="0" fontId="13" fillId="18" borderId="0" xfId="0" applyNumberFormat="1" applyFont="1" applyFill="1" applyBorder="1" applyAlignment="1">
      <x:alignment vertical="center" wrapText="1"/>
    </x:xf>
    <x:xf numFmtId="0" fontId="15" fillId="21" borderId="0" xfId="0" applyNumberFormat="1" applyFont="1" applyFill="1" applyBorder="1" applyAlignment="1">
      <x:alignment vertical="center" wrapText="1"/>
    </x:xf>
    <x:xf numFmtId="0" fontId="16" fillId="22" borderId="0" xfId="0" applyNumberFormat="1" applyFont="1" applyFill="1" applyBorder="1" applyAlignment="1">
      <x:alignment horizontal="center" vertical="center"/>
    </x:xf>
    <x:xf numFmtId="0" fontId="17" fillId="20" borderId="0" xfId="0" applyNumberFormat="1" applyFont="1" applyFill="1" applyBorder="1" applyAlignment="1">
      <x:alignment vertical="center"/>
    </x:xf>
    <x:xf numFmtId="200" fontId="17" fillId="20" borderId="0" xfId="0" applyNumberFormat="1" applyFont="1" applyFill="1" applyBorder="1" applyAlignment="1">
      <x:alignment vertical="center"/>
    </x:xf>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200" fontId="13" fillId="7" borderId="0" xfId="0" applyNumberFormat="1" applyFont="1" applyFill="1" applyBorder="1" applyAlignment="1">
      <x:alignment vertical="center" wrapText="1"/>
    </x:xf>
    <x:xf numFmtId="205" fontId="13" fillId="7" borderId="0" xfId="0" applyNumberFormat="1" applyFont="1" applyFill="1" applyBorder="1" applyAlignment="1">
      <x:alignment vertical="center" wrapText="1"/>
    </x:xf>
    <x:xf numFmtId="0" fontId="8" fillId="23" borderId="0" xfId="0" applyNumberFormat="1" applyFont="1" applyFill="1" applyBorder="1" applyAlignment="1">
      <x:alignment vertical="center" wrapText="1"/>
    </x:xf>
    <x:xf numFmtId="0" fontId="15" fillId="23" borderId="0" xfId="0" applyNumberFormat="1" applyFont="1" applyFill="1" applyBorder="1" applyAlignment="1">
      <x:alignment vertical="center" wrapText="1"/>
    </x:xf>
    <x:xf numFmtId="0" fontId="1" fillId="19" borderId="0" xfId="0" applyNumberFormat="1" applyFont="1" applyFill="1" applyBorder="1"/>
    <x:xf numFmtId="0" fontId="8"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applyAlignment="1">
      <x:alignment vertical="center" wrapText="1"/>
    </x:xf>
    <x:xf numFmtId="0" fontId="13" fillId="17" borderId="0" xfId="0" applyNumberFormat="1" applyFont="1" applyFill="1" applyBorder="1" applyAlignment="1">
      <x:alignment wrapText="1"/>
    </x:xf>
    <x:xf numFmtId="0" fontId="13" fillId="17" borderId="0" xfId="0" applyNumberFormat="1" applyFont="1" applyFill="1" applyBorder="1" applyAlignment="1">
      <x:alignment vertical="center" wrapText="1"/>
    </x:xf>
    <x:xf numFmtId="0" fontId="0" fillId="18" borderId="0" xfId="0" applyNumberFormat="1" applyFont="1" applyFill="1" applyBorder="1"/>
    <x:xf numFmtId="0" fontId="13" fillId="18" borderId="0" xfId="0" applyNumberFormat="1" applyFont="1" applyFill="1" applyBorder="1"/>
    <x:xf numFmtId="0" fontId="13" fillId="18" borderId="0" xfId="0" applyNumberFormat="1" applyFont="1" applyFill="1" applyBorder="1" applyAlignment="1">
      <x:alignment wrapText="1"/>
    </x:xf>
    <x:xf numFmtId="0" fontId="0" fillId="21" borderId="0" xfId="0" applyNumberFormat="1" applyFont="1" applyFill="1" applyBorder="1" applyAlignment="1">
      <x:alignment vertical="center" wrapText="1"/>
    </x:xf>
    <x:xf numFmtId="0" fontId="13" fillId="21" borderId="0" xfId="0" applyNumberFormat="1" applyFont="1" applyFill="1" applyBorder="1" applyAlignment="1">
      <x:alignment vertical="center" wrapText="1"/>
    </x:xf>
    <x:xf numFmtId="0" fontId="0" fillId="20" borderId="0" xfId="0" applyNumberFormat="1" applyFont="1" applyFill="1" applyBorder="1" applyAlignment="1">
      <x:alignment vertical="center" wrapText="1"/>
    </x:xf>
    <x:xf numFmtId="0" fontId="2" fillId="23" borderId="0" xfId="0" applyNumberFormat="1" applyFont="1" applyFill="1" applyBorder="1" applyAlignment="1">
      <x:alignment vertical="center"/>
    </x:xf>
    <x:xf numFmtId="0" fontId="20" fillId="23" borderId="0" xfId="0" applyNumberFormat="1" applyFont="1" applyFill="1" applyBorder="1" applyAlignment="1">
      <x:alignment vertical="center"/>
    </x:xf>
    <x:xf numFmtId="0" fontId="20" fillId="23" borderId="0" xfId="0" applyNumberFormat="1" applyFont="1" applyFill="1" applyBorder="1" applyAlignment="1">
      <x:alignment horizontal="left" vertical="center"/>
    </x:xf>
    <x:xf numFmtId="0" fontId="4" fillId="19" borderId="0" xfId="0" applyNumberFormat="1" applyFont="1" applyFill="1" applyBorder="1"/>
    <x:xf numFmtId="0" fontId="4" fillId="19" borderId="0" xfId="0" applyNumberFormat="1" applyFont="1" applyFill="1" applyBorder="1" applyAlignment="1">
      <x:alignment vertical="center"/>
    </x:xf>
    <x:xf numFmtId="0" fontId="1" fillId="21" borderId="0" xfId="0" applyNumberFormat="1" applyFont="1" applyFill="1" applyBorder="1"/>
    <x:xf numFmtId="0" fontId="8" fillId="21" borderId="0" xfId="0" applyNumberFormat="1" applyFont="1" applyFill="1" applyBorder="1"/>
    <x:xf numFmtId="0" fontId="8" fillId="21" borderId="0" xfId="0" applyNumberFormat="1" applyFont="1" applyFill="1" applyBorder="1" applyAlignment="1">
      <x:alignment vertical="center"/>
    </x:xf>
    <x:xf numFmtId="0" fontId="16" fillId="19" borderId="0" xfId="0" applyNumberFormat="1" applyFont="1" applyFill="1" applyBorder="1" applyAlignment="1">
      <x:alignment horizontal="center" vertical="center"/>
    </x:xf>
    <x:xf numFmtId="0" fontId="21" fillId="19" borderId="0" xfId="0" applyNumberFormat="1" applyFont="1" applyFill="1" applyBorder="1" applyAlignment="1">
      <x:alignment vertical="center"/>
    </x:xf>
    <x:xf numFmtId="0" fontId="21" fillId="19" borderId="0" xfId="0" applyNumberFormat="1" applyFont="1" applyFill="1" applyBorder="1" applyAlignment="1">
      <x:alignment horizontal="center" vertical="center"/>
    </x:xf>
    <x:xf numFmtId="0" fontId="4" fillId="23" borderId="0" xfId="0" applyNumberFormat="1" applyFont="1" applyFill="1" applyBorder="1" applyAlignment="1">
      <x:alignment vertical="center"/>
    </x:xf>
    <x:xf numFmtId="0" fontId="22" fillId="23" borderId="0" xfId="0" applyNumberFormat="1" applyFont="1" applyFill="1" applyBorder="1" applyAlignment="1">
      <x:alignment vertical="center"/>
    </x:xf>
    <x:xf numFmtId="0" fontId="3" fillId="23" borderId="0" xfId="0" applyNumberFormat="1" applyFont="1" applyFill="1" applyBorder="1" applyAlignment="1">
      <x:alignment vertical="center"/>
    </x:xf>
    <x:xf numFmtId="0" fontId="1" fillId="24" borderId="0" xfId="0" applyNumberFormat="1" applyFont="1" applyFill="1" applyBorder="1" applyAlignment="1">
      <x:alignment vertical="center" wrapText="1"/>
    </x:xf>
    <x:xf numFmtId="0" fontId="1" fillId="24" borderId="0" xfId="0" applyNumberFormat="1" applyFont="1" applyFill="1" applyBorder="1"/>
    <x:xf numFmtId="0" fontId="13" fillId="24" borderId="0" xfId="0" applyNumberFormat="1" applyFont="1" applyFill="1" applyBorder="1" applyAlignment="1">
      <x:alignment vertical="center" wrapText="1"/>
    </x:xf>
    <x:xf numFmtId="0" fontId="13" fillId="24" borderId="0" xfId="0" applyNumberFormat="1" applyFont="1" applyFill="1" applyBorder="1"/>
    <x:xf numFmtId="0" fontId="13" fillId="24" borderId="0" xfId="0" applyNumberFormat="1" applyFont="1" applyFill="1" applyBorder="1" applyAlignment="1">
      <x:alignment vertical="center"/>
    </x:xf>
    <x:xf numFmtId="0" fontId="1" fillId="23" borderId="0" xfId="0" applyNumberFormat="1" applyFont="1" applyFill="1" applyBorder="1" applyAlignment="1">
      <x:alignment vertical="center" wrapText="1"/>
    </x:xf>
    <x:xf numFmtId="0" fontId="1" fillId="23" borderId="0" xfId="0" applyNumberFormat="1" applyFont="1" applyFill="1" applyBorder="1"/>
    <x:xf numFmtId="0" fontId="22" fillId="23" borderId="0" xfId="0" applyNumberFormat="1" applyFont="1" applyFill="1" applyBorder="1" applyAlignment="1">
      <x:alignment vertical="center" wrapText="1"/>
    </x:xf>
    <x:xf numFmtId="0" fontId="22" fillId="23" borderId="0" xfId="0" applyNumberFormat="1" applyFont="1" applyFill="1" applyBorder="1"/>
    <x:xf numFmtId="0" fontId="3" fillId="23" borderId="0" xfId="0" applyNumberFormat="1" applyFont="1" applyFill="1" applyBorder="1"/>
    <x:xf numFmtId="0" fontId="21" fillId="19" borderId="0" xfId="0" applyNumberFormat="1" applyFont="1" applyFill="1" applyBorder="1"/>
    <x:xf numFmtId="0" fontId="21" fillId="19" borderId="0" xfId="0" applyNumberFormat="1" applyFont="1" applyFill="1" applyBorder="1" applyAlignment="1">
      <x:alignment horizontal="center"/>
    </x:xf>
    <x:xf numFmtId="0" fontId="17" fillId="24" borderId="0" xfId="0" applyNumberFormat="1" applyFont="1" applyFill="1" applyBorder="1" applyAlignment="1">
      <x:alignment vertical="center"/>
    </x:xf>
    <x:xf numFmtId="0" fontId="23" fillId="24" borderId="0" xfId="0" applyNumberFormat="1" applyFont="1" applyFill="1" applyBorder="1" applyAlignment="1">
      <x:alignment vertical="center"/>
    </x:xf>
    <x:xf numFmtId="200" fontId="17" fillId="21" borderId="0" xfId="0" applyNumberFormat="1" applyFont="1" applyFill="1" applyBorder="1" applyAlignment="1">
      <x:alignment vertical="center"/>
    </x:xf>
    <x:xf numFmtId="200" fontId="8" fillId="21" borderId="0" xfId="0" applyNumberFormat="1" applyFont="1" applyFill="1" applyBorder="1" applyAlignment="1">
      <x:alignment vertical="center"/>
    </x:xf>
    <x:xf numFmtId="0" fontId="1" fillId="20" borderId="0" xfId="0" applyNumberFormat="1" applyFont="1" applyFill="1" applyBorder="1"/>
    <x:xf numFmtId="0" fontId="24" fillId="20" borderId="0" xfId="0" applyNumberFormat="1" applyFont="1" applyFill="1" applyBorder="1"/>
    <x:xf numFmtId="200" fontId="24" fillId="20" borderId="0" xfId="0" applyNumberFormat="1" applyFont="1" applyFill="1" applyBorder="1" applyAlignment="1">
      <x:alignment vertical="center"/>
    </x:xf>
    <x:xf numFmtId="0" fontId="24" fillId="20" borderId="0" xfId="0" applyNumberFormat="1" applyFont="1" applyFill="1" applyBorder="1" applyAlignment="1">
      <x:alignment vertical="center"/>
    </x:xf>
    <x:xf numFmtId="0" fontId="17" fillId="20" borderId="0" xfId="0" applyNumberFormat="1" applyFont="1" applyFill="1" applyBorder="1"/>
    <x:xf numFmtId="0" fontId="1" fillId="25" borderId="0" xfId="0" applyNumberFormat="1" applyFont="1" applyFill="1" applyBorder="1"/>
    <x:xf numFmtId="0" fontId="17" fillId="25" borderId="0" xfId="0" applyNumberFormat="1" applyFont="1" applyFill="1" applyBorder="1" applyAlignment="1">
      <x:alignment vertical="center"/>
    </x:xf>
    <x:xf numFmtId="0" fontId="17" fillId="25" borderId="0" xfId="0" applyNumberFormat="1" applyFont="1" applyFill="1" applyBorder="1"/>
    <x:xf numFmtId="0" fontId="1" fillId="17" borderId="0" xfId="0" applyNumberFormat="1" applyFont="1" applyFill="1" applyBorder="1"/>
    <x:xf numFmtId="0" fontId="25" fillId="17" borderId="0" xfId="0" applyNumberFormat="1" applyFont="1" applyFill="1" applyBorder="1"/>
    <x:xf numFmtId="0" fontId="25" fillId="17" borderId="0" xfId="0" applyNumberFormat="1" applyFont="1" applyFill="1" applyBorder="1" applyAlignment="1">
      <x:alignment wrapText="1"/>
    </x:xf>
    <x:xf numFmtId="0" fontId="25" fillId="17" borderId="0" xfId="0" applyNumberFormat="1" applyFont="1" applyFill="1" applyBorder="1" applyAlignment="1">
      <x:alignment vertical="center" wrapText="1"/>
    </x:xf>
    <x:xf numFmtId="0" fontId="6" fillId="17" borderId="0" xfId="0" applyNumberFormat="1" applyFont="1" applyFill="1" applyBorder="1" applyAlignment="1">
      <x:alignment vertical="center" wrapText="1"/>
    </x:xf>
    <x:xf numFmtId="0" fontId="26" fillId="17" borderId="0" xfId="0" applyNumberFormat="1" applyFont="1" applyFill="1" applyBorder="1"/>
    <x:xf numFmtId="0" fontId="26" fillId="17" borderId="0" xfId="0" applyNumberFormat="1" applyFont="1" applyFill="1" applyBorder="1" applyAlignment="1">
      <x:alignment vertical="center" wrapText="1"/>
    </x:xf>
    <x:xf numFmtId="0" fontId="26" fillId="17" borderId="0" xfId="0" applyNumberFormat="1" applyFont="1" applyFill="1" applyBorder="1" applyAlignment="1">
      <x:alignment wrapText="1"/>
    </x:xf>
    <x:xf numFmtId="0" fontId="0" fillId="23" borderId="0" xfId="0" applyNumberFormat="1" applyFont="1" applyFill="1" applyBorder="1"/>
    <x:xf numFmtId="0" fontId="0" fillId="21" borderId="0" xfId="0" applyNumberFormat="1" applyFont="1" applyFill="1" applyBorder="1"/>
    <x:xf numFmtId="0" fontId="15" fillId="21" borderId="0" xfId="0" applyNumberFormat="1" applyFont="1" applyFill="1" applyBorder="1"/>
    <x:xf numFmtId="0" fontId="15" fillId="21" borderId="0" xfId="0" applyNumberFormat="1" applyFont="1" applyFill="1" applyBorder="1" applyAlignment="1">
      <x:alignment wrapText="1"/>
    </x:xf>
    <x:xf numFmtId="0" fontId="27" fillId="0" borderId="0" xfId="0" applyNumberFormat="1" applyFont="1" applyFill="1" applyBorder="1"/>
    <x:xf numFmtId="0" fontId="27" fillId="0" borderId="0" xfId="0" applyNumberFormat="1" applyFont="1" applyFill="1" applyBorder="1" applyAlignment="1">
      <x:alignment wrapText="1"/>
    </x:xf>
    <x:xf numFmtId="0" fontId="27" fillId="0" borderId="0" xfId="0" applyNumberFormat="1" applyFont="1" applyFill="1" applyBorder="1" applyAlignment="1">
      <x:alignment vertical="center" wrapText="1"/>
    </x:xf>
    <x:xf numFmtId="0" fontId="0" fillId="17" borderId="0" xfId="0" applyNumberFormat="1" applyFont="1" applyFill="1" applyBorder="1"/>
    <x:xf numFmtId="0" fontId="28" fillId="17" borderId="0" xfId="0" applyNumberFormat="1" applyFont="1" applyFill="1" applyBorder="1"/>
    <x:xf numFmtId="0" fontId="28" fillId="17" borderId="0" xfId="0" applyNumberFormat="1" applyFont="1" applyFill="1" applyBorder="1" applyAlignment="1">
      <x:alignment wrapText="1"/>
    </x:xf>
    <x:xf numFmtId="0" fontId="28" fillId="17" borderId="0" xfId="0" applyNumberFormat="1" applyFont="1" applyFill="1" applyBorder="1" applyAlignment="1">
      <x:alignment vertical="center" wrapText="1"/>
    </x:xf>
    <x:xf numFmtId="0" fontId="0" fillId="26" borderId="0" xfId="0" applyNumberFormat="1" applyFont="1" applyFill="1" applyBorder="1"/>
    <x:xf numFmtId="0" fontId="19" fillId="26" borderId="0" xfId="0" applyNumberFormat="1" applyFont="1" applyFill="1" applyBorder="1"/>
    <x:xf numFmtId="0" fontId="19" fillId="26" borderId="0" xfId="0" applyNumberFormat="1" applyFont="1" applyFill="1" applyBorder="1" applyAlignment="1">
      <x:alignment wrapText="1"/>
    </x:xf>
    <x:xf numFmtId="0" fontId="19" fillId="26" borderId="0" xfId="0" applyNumberFormat="1" applyFont="1" applyFill="1" applyBorder="1" applyAlignment="1">
      <x:alignment vertical="center" wrapText="1"/>
    </x:xf>
    <x:xf numFmtId="0" fontId="2" fillId="23" borderId="0" xfId="0" applyNumberFormat="1" applyFont="1" applyFill="1" applyBorder="1" applyAlignment="1">
      <x:alignment vertical="center" wrapText="1"/>
    </x:xf>
    <x:xf numFmtId="0" fontId="8" fillId="21" borderId="0" xfId="0" applyNumberFormat="1" applyFont="1" applyFill="1" applyBorder="1" applyAlignment="1">
      <x:alignment vertical="center" wrapText="1"/>
    </x:xf>
    <x:xf numFmtId="0" fontId="9" fillId="19" borderId="0" xfId="0" applyNumberFormat="1" applyFont="1" applyFill="1" applyBorder="1"/>
    <x:xf numFmtId="0" fontId="18" fillId="6" borderId="0" xfId="0" applyNumberFormat="1" applyFont="1" applyFill="1" applyBorder="1"/>
    <x:xf numFmtId="0" fontId="18" fillId="17" borderId="0" xfId="0" applyNumberFormat="1" applyFont="1" applyFill="1" applyBorder="1"/>
    <x:xf numFmtId="0" fontId="18" fillId="20" borderId="0" xfId="0" applyNumberFormat="1" applyFont="1" applyFill="1" applyBorder="1"/>
    <x:xf numFmtId="0" fontId="0" fillId="20" borderId="0" xfId="0" applyNumberFormat="1" applyFont="1" applyFill="1" applyBorder="1"/>
    <x:xf numFmtId="0" fontId="18" fillId="18" borderId="0" xfId="0" applyNumberFormat="1" applyFont="1" applyFill="1" applyBorder="1" applyAlignment="1">
      <x:alignment wrapText="1"/>
    </x:xf>
    <x:xf numFmtId="0" fontId="0" fillId="18" borderId="0" xfId="0" applyNumberFormat="1" applyFont="1" applyFill="1" applyBorder="1" applyAlignment="1">
      <x:alignment wrapText="1"/>
    </x:xf>
    <x:xf numFmtId="0" fontId="9" fillId="23" borderId="0" xfId="0" applyNumberFormat="1" applyFont="1" applyFill="1" applyBorder="1"/>
    <x:xf numFmtId="0" fontId="13" fillId="27" borderId="0" xfId="0" applyNumberFormat="1" applyFont="1" applyFill="1" applyBorder="1" applyAlignment="1">
      <x:alignment vertical="center" wrapText="1"/>
    </x:xf>
    <x:xf numFmtId="0" fontId="14" fillId="27" borderId="0" xfId="0" applyNumberFormat="1" applyFont="1" applyFill="1" applyBorder="1" applyAlignment="1">
      <x:alignment vertical="center" wrapText="1"/>
    </x:xf>
    <x:xf numFmtId="0" fontId="1" fillId="28" borderId="0" xfId="0" applyNumberFormat="1" applyFont="1" applyFill="1" applyBorder="1" applyAlignment="1">
      <x:alignment vertical="center" wrapText="1"/>
    </x:xf>
    <x:xf numFmtId="0" fontId="15" fillId="29" borderId="0" xfId="0" applyNumberFormat="1" applyFont="1" applyFill="1" applyBorder="1" applyAlignment="1">
      <x:alignment vertical="center" wrapText="1"/>
    </x:xf>
    <x:xf numFmtId="0" fontId="13" fillId="30" borderId="0" xfId="0" applyNumberFormat="1" applyFont="1" applyFill="1" applyBorder="1" applyAlignment="1">
      <x:alignment vertical="center" wrapText="1"/>
    </x:xf>
    <x:xf numFmtId="0" fontId="13" fillId="28" borderId="0" xfId="0" applyNumberFormat="1" applyFont="1" applyFill="1" applyBorder="1" applyAlignment="1">
      <x:alignment vertical="center" wrapText="1"/>
    </x:xf>
    <x:xf numFmtId="0" fontId="15" fillId="31" borderId="0" xfId="0" applyNumberFormat="1" applyFont="1" applyFill="1" applyBorder="1" applyAlignment="1">
      <x:alignment vertical="center" wrapText="1"/>
    </x:xf>
    <x:xf numFmtId="0" fontId="15" fillId="28" borderId="0" xfId="0" applyNumberFormat="1" applyFont="1" applyFill="1" applyBorder="1" applyAlignment="1">
      <x:alignment vertical="center" wrapText="1"/>
    </x:xf>
    <x:xf numFmtId="0" fontId="23" fillId="28" borderId="0" xfId="0" applyNumberFormat="1" applyFont="1" applyFill="1" applyBorder="1" applyAlignment="1">
      <x:alignment vertical="center" wrapText="1"/>
    </x:xf>
    <x:xf numFmtId="0" fontId="21" fillId="32" borderId="0" xfId="0" applyNumberFormat="1" applyFont="1" applyFill="1" applyBorder="1" applyAlignment="1">
      <x:alignment horizontal="center" vertical="center"/>
    </x:xf>
    <x:xf numFmtId="0" fontId="16" fillId="32" borderId="0" xfId="0" applyNumberFormat="1" applyFont="1" applyFill="1" applyBorder="1" applyAlignment="1">
      <x:alignment horizontal="center" vertical="center"/>
    </x:xf>
    <x:xf numFmtId="0" fontId="29" fillId="15" borderId="0" xfId="0" applyNumberFormat="1" applyFont="1" applyFill="1" applyBorder="1" applyAlignment="1">
      <x:alignment vertical="center" wrapText="1"/>
    </x:xf>
    <x:xf numFmtId="0" fontId="23" fillId="30" borderId="0" xfId="0" applyNumberFormat="1" applyFont="1" applyFill="1" applyBorder="1" applyAlignment="1">
      <x:alignment vertical="center"/>
    </x:xf>
    <x:xf numFmtId="200" fontId="17" fillId="30" borderId="0" xfId="0" applyNumberFormat="1" applyFont="1" applyFill="1" applyBorder="1" applyAlignment="1">
      <x:alignment vertical="center"/>
    </x:xf>
    <x:xf numFmtId="200" fontId="8" fillId="30" borderId="0" xfId="0" applyNumberFormat="1" applyFont="1" applyFill="1" applyBorder="1" applyAlignment="1">
      <x:alignment vertical="center"/>
    </x:xf>
    <x:xf numFmtId="200" fontId="24" fillId="30" borderId="0" xfId="0" applyNumberFormat="1" applyFont="1" applyFill="1" applyBorder="1" applyAlignment="1">
      <x:alignment vertical="center"/>
    </x:xf>
    <x:xf numFmtId="0" fontId="17" fillId="30" borderId="0" xfId="0" applyNumberFormat="1" applyFont="1" applyFill="1" applyBorder="1" applyAlignment="1">
      <x:alignment vertical="center"/>
    </x:xf>
    <x:xf numFmtId="0" fontId="15" fillId="33" borderId="0" xfId="0" applyNumberFormat="1" applyFont="1" applyFill="1" applyBorder="1" applyAlignment="1">
      <x:alignment vertical="center" wrapText="1"/>
    </x:xf>
    <x:xf numFmtId="0" fontId="8" fillId="29" borderId="0" xfId="0" applyNumberFormat="1" applyFont="1" applyFill="1" applyBorder="1" applyAlignment="1">
      <x:alignment vertical="center" wrapText="1"/>
    </x:xf>
    <x:xf numFmtId="0" fontId="23" fillId="31" borderId="0" xfId="0" applyNumberFormat="1" applyFont="1" applyFill="1" applyBorder="1" applyAlignment="1">
      <x:alignment vertical="center" wrapText="1"/>
    </x:xf>
    <x:xf numFmtId="0" fontId="20" fillId="33" borderId="0" xfId="0" applyNumberFormat="1" applyFont="1" applyFill="1" applyBorder="1" applyAlignment="1">
      <x:alignment horizontal="left" vertical="center"/>
    </x:xf>
    <x:xf numFmtId="0" fontId="4" fillId="29" borderId="0" xfId="0" applyNumberFormat="1" applyFont="1" applyFill="1" applyBorder="1" applyAlignment="1">
      <x:alignment vertical="center"/>
    </x:xf>
    <x:xf numFmtId="0" fontId="8" fillId="31" borderId="0" xfId="0" applyNumberFormat="1" applyFont="1" applyFill="1" applyBorder="1" applyAlignment="1">
      <x:alignment vertical="center"/>
    </x:xf>
    <x:xf numFmtId="0" fontId="21" fillId="29" borderId="0" xfId="0" applyNumberFormat="1" applyFont="1" applyFill="1" applyBorder="1" applyAlignment="1">
      <x:alignment horizontal="center" vertical="center"/>
    </x:xf>
    <x:xf numFmtId="0" fontId="16" fillId="29" borderId="0" xfId="0" applyNumberFormat="1" applyFont="1" applyFill="1" applyBorder="1" applyAlignment="1">
      <x:alignment horizontal="center" vertical="center"/>
    </x:xf>
    <x:xf numFmtId="0" fontId="22" fillId="33" borderId="0" xfId="0" applyNumberFormat="1" applyFont="1" applyFill="1" applyBorder="1" applyAlignment="1">
      <x:alignment vertical="center"/>
    </x:xf>
    <x:xf numFmtId="0" fontId="3" fillId="33" borderId="0" xfId="0" applyNumberFormat="1" applyFont="1" applyFill="1" applyBorder="1" applyAlignment="1">
      <x:alignment vertical="center"/>
    </x:xf>
    <x:xf numFmtId="0" fontId="1" fillId="34" borderId="0" xfId="0" applyNumberFormat="1" applyFont="1" applyFill="1" applyBorder="1" applyAlignment="1">
      <x:alignment vertical="center" wrapText="1"/>
    </x:xf>
    <x:xf numFmtId="0" fontId="13" fillId="34" borderId="0" xfId="0" applyNumberFormat="1" applyFont="1" applyFill="1" applyBorder="1" applyAlignment="1">
      <x:alignment vertical="center"/>
    </x:xf>
    <x:xf numFmtId="0" fontId="13" fillId="34" borderId="0" xfId="0" applyNumberFormat="1" applyFont="1" applyFill="1" applyBorder="1" applyAlignment="1">
      <x:alignment vertical="center" wrapText="1"/>
    </x:xf>
    <x:xf numFmtId="0" fontId="29" fillId="33" borderId="0" xfId="0" applyNumberFormat="1" applyFont="1" applyFill="1" applyBorder="1" applyAlignment="1">
      <x:alignment vertical="center" wrapText="1"/>
    </x:xf>
    <x:xf numFmtId="0" fontId="22" fillId="33" borderId="0" xfId="0" applyNumberFormat="1" applyFont="1" applyFill="1" applyBorder="1" applyAlignment="1">
      <x:alignment vertical="center" wrapText="1"/>
    </x:xf>
    <x:xf numFmtId="0" fontId="17" fillId="34" borderId="0" xfId="0" applyNumberFormat="1" applyFont="1" applyFill="1" applyBorder="1" applyAlignment="1">
      <x:alignment vertical="center"/>
    </x:xf>
    <x:xf numFmtId="0" fontId="23" fillId="34" borderId="0" xfId="0" applyNumberFormat="1" applyFont="1" applyFill="1" applyBorder="1" applyAlignment="1">
      <x:alignment vertical="center"/>
    </x:xf>
    <x:xf numFmtId="200" fontId="17" fillId="31" borderId="0" xfId="0" applyNumberFormat="1" applyFont="1" applyFill="1" applyBorder="1" applyAlignment="1">
      <x:alignment vertical="center"/>
    </x:xf>
    <x:xf numFmtId="200" fontId="8" fillId="31" borderId="0" xfId="0" applyNumberFormat="1" applyFont="1" applyFill="1" applyBorder="1" applyAlignment="1">
      <x:alignment vertical="center"/>
    </x:xf>
    <x:xf numFmtId="0" fontId="24" fillId="30" borderId="0" xfId="0" applyNumberFormat="1" applyFont="1" applyFill="1" applyBorder="1" applyAlignment="1">
      <x:alignment vertical="center"/>
    </x:xf>
    <x:xf numFmtId="0" fontId="17" fillId="35" borderId="0" xfId="0" applyNumberFormat="1" applyFont="1" applyFill="1" applyBorder="1" applyAlignment="1">
      <x:alignment vertical="center"/>
    </x:xf>
    <x:xf numFmtId="0" fontId="25" fillId="27" borderId="0" xfId="0" applyNumberFormat="1" applyFont="1" applyFill="1" applyBorder="1" applyAlignment="1">
      <x:alignment vertical="center" wrapText="1"/>
    </x:xf>
    <x:xf numFmtId="0" fontId="26" fillId="27" borderId="0" xfId="0" applyNumberFormat="1" applyFont="1" applyFill="1" applyBorder="1" applyAlignment="1">
      <x:alignment vertical="center" wrapText="1"/>
    </x:xf>
    <x:xf numFmtId="0" fontId="28" fillId="27" borderId="0" xfId="0" applyNumberFormat="1" applyFont="1" applyFill="1" applyBorder="1" applyAlignment="1">
      <x:alignment vertical="center" wrapText="1"/>
    </x:xf>
    <x:xf numFmtId="0" fontId="19" fillId="36" borderId="0" xfId="0" applyNumberFormat="1" applyFont="1" applyFill="1" applyBorder="1" applyAlignment="1">
      <x:alignment vertical="center" wrapText="1"/>
    </x:xf>
    <x:xf numFmtId="0" fontId="2" fillId="33" borderId="0" xfId="0" applyNumberFormat="1" applyFont="1" applyFill="1" applyBorder="1" applyAlignment="1">
      <x:alignment vertical="center" wrapText="1"/>
    </x:xf>
    <x:xf numFmtId="0" fontId="8" fillId="31" borderId="0" xfId="0" applyNumberFormat="1" applyFont="1" applyFill="1" applyBorder="1" applyAlignment="1">
      <x:alignment vertical="center" wrapText="1"/>
    </x:xf>
    <x:xf numFmtId="0" fontId="9" fillId="29" borderId="0" xfId="0" applyNumberFormat="1" applyFont="1" applyFill="1" applyBorder="1"/>
    <x:xf numFmtId="0" fontId="18" fillId="27" borderId="0" xfId="0" applyNumberFormat="1" applyFont="1" applyFill="1" applyBorder="1"/>
    <x:xf numFmtId="0" fontId="0" fillId="27" borderId="0" xfId="0" applyNumberFormat="1" applyFont="1" applyFill="1" applyBorder="1"/>
    <x:xf numFmtId="0" fontId="18" fillId="30" borderId="0" xfId="0" applyNumberFormat="1" applyFont="1" applyFill="1" applyBorder="1"/>
    <x:xf numFmtId="0" fontId="0" fillId="30" borderId="0" xfId="0" applyNumberFormat="1" applyFont="1" applyFill="1" applyBorder="1"/>
    <x:xf numFmtId="0" fontId="18" fillId="28" borderId="0" xfId="0" applyNumberFormat="1" applyFont="1" applyFill="1" applyBorder="1" applyAlignment="1">
      <x:alignment wrapText="1"/>
    </x:xf>
    <x:xf numFmtId="0" fontId="0" fillId="28" borderId="0" xfId="0" applyNumberFormat="1" applyFont="1" applyFill="1" applyBorder="1" applyAlignment="1">
      <x:alignment wrapText="1"/>
    </x:xf>
    <x:xf numFmtId="0" fontId="9" fillId="33" borderId="0" xfId="0" applyNumberFormat="1" applyFont="1" applyFill="1" applyBorder="1"/>
    <x:xf numFmtId="0" fontId="13" fillId="37" borderId="0" xfId="0" applyNumberFormat="1" applyFont="1" applyFill="1" applyBorder="1" applyAlignment="1">
      <x:alignment vertical="center" wrapText="1"/>
    </x:xf>
    <x:xf numFmtId="0" fontId="14" fillId="37" borderId="0" xfId="0" applyNumberFormat="1" applyFont="1" applyFill="1" applyBorder="1" applyAlignment="1">
      <x:alignment vertical="center" wrapText="1"/>
    </x:xf>
    <x:xf numFmtId="0" fontId="1" fillId="38" borderId="0" xfId="0" applyNumberFormat="1" applyFont="1" applyFill="1" applyBorder="1" applyAlignment="1">
      <x:alignment vertical="center" wrapText="1"/>
    </x:xf>
    <x:xf numFmtId="0" fontId="15" fillId="39" borderId="0" xfId="0" applyNumberFormat="1" applyFont="1" applyFill="1" applyBorder="1" applyAlignment="1">
      <x:alignment vertical="center" wrapText="1"/>
    </x:xf>
    <x:xf numFmtId="0" fontId="13" fillId="40" borderId="0" xfId="0" applyNumberFormat="1" applyFont="1" applyFill="1" applyBorder="1" applyAlignment="1">
      <x:alignment vertical="center" wrapText="1"/>
    </x:xf>
    <x:xf numFmtId="0" fontId="13" fillId="38" borderId="0" xfId="0" applyNumberFormat="1" applyFont="1" applyFill="1" applyBorder="1" applyAlignment="1">
      <x:alignment vertical="center" wrapText="1"/>
    </x:xf>
    <x:xf numFmtId="0" fontId="15" fillId="41" borderId="0" xfId="0" applyNumberFormat="1" applyFont="1" applyFill="1" applyBorder="1" applyAlignment="1">
      <x:alignment vertical="center" wrapText="1"/>
    </x:xf>
    <x:xf numFmtId="0" fontId="15" fillId="38" borderId="0" xfId="0" applyNumberFormat="1" applyFont="1" applyFill="1" applyBorder="1" applyAlignment="1">
      <x:alignment vertical="center" wrapText="1"/>
    </x:xf>
    <x:xf numFmtId="0" fontId="23" fillId="38" borderId="0" xfId="0" applyNumberFormat="1" applyFont="1" applyFill="1" applyBorder="1" applyAlignment="1">
      <x:alignment vertical="center" wrapText="1"/>
    </x:xf>
    <x:xf numFmtId="0" fontId="21" fillId="42" borderId="0" xfId="0" applyNumberFormat="1" applyFont="1" applyFill="1" applyBorder="1" applyAlignment="1">
      <x:alignment horizontal="center" vertical="center"/>
    </x:xf>
    <x:xf numFmtId="0" fontId="16" fillId="42" borderId="0" xfId="0" applyNumberFormat="1" applyFont="1" applyFill="1" applyBorder="1" applyAlignment="1">
      <x:alignment horizontal="center" vertical="center"/>
    </x:xf>
    <x:xf numFmtId="0" fontId="23" fillId="40" borderId="0" xfId="0" applyNumberFormat="1" applyFont="1" applyFill="1" applyBorder="1" applyAlignment="1">
      <x:alignment vertical="center"/>
    </x:xf>
    <x:xf numFmtId="200" fontId="17" fillId="40" borderId="0" xfId="0" applyNumberFormat="1" applyFont="1" applyFill="1" applyBorder="1" applyAlignment="1">
      <x:alignment vertical="center"/>
    </x:xf>
    <x:xf numFmtId="200" fontId="8" fillId="40" borderId="0" xfId="0" applyNumberFormat="1" applyFont="1" applyFill="1" applyBorder="1" applyAlignment="1">
      <x:alignment vertical="center"/>
    </x:xf>
    <x:xf numFmtId="200" fontId="24" fillId="40" borderId="0" xfId="0" applyNumberFormat="1" applyFont="1" applyFill="1" applyBorder="1" applyAlignment="1">
      <x:alignment vertical="center"/>
    </x:xf>
    <x:xf numFmtId="0" fontId="17" fillId="40" borderId="0" xfId="0" applyNumberFormat="1" applyFont="1" applyFill="1" applyBorder="1" applyAlignment="1">
      <x:alignment vertical="center"/>
    </x:xf>
    <x:xf numFmtId="0" fontId="13" fillId="43" borderId="0" xfId="0" applyNumberFormat="1" applyFont="1" applyFill="1" applyBorder="1" applyAlignment="1">
      <x:alignment vertical="center" wrapText="1"/>
    </x:xf>
    <x:xf numFmtId="205" fontId="13" fillId="43" borderId="0" xfId="0" applyNumberFormat="1" applyFont="1" applyFill="1" applyBorder="1" applyAlignment="1">
      <x:alignment vertical="center" wrapText="1"/>
    </x:xf>
    <x:xf numFmtId="200" fontId="13" fillId="43" borderId="0" xfId="0" applyNumberFormat="1" applyFont="1" applyFill="1" applyBorder="1" applyAlignment="1">
      <x:alignment vertical="center" wrapText="1"/>
    </x:xf>
    <x:xf numFmtId="0" fontId="13" fillId="44" borderId="0" xfId="0" applyNumberFormat="1" applyFont="1" applyFill="1" applyBorder="1" applyAlignment="1">
      <x:alignment vertical="center" wrapText="1"/>
    </x:xf>
    <x:xf numFmtId="205" fontId="13" fillId="44" borderId="0" xfId="0" applyNumberFormat="1" applyFont="1" applyFill="1" applyBorder="1" applyAlignment="1">
      <x:alignment vertical="center" wrapText="1"/>
    </x:xf>
    <x:xf numFmtId="200" fontId="13" fillId="44" borderId="0" xfId="0" applyNumberFormat="1" applyFont="1" applyFill="1" applyBorder="1" applyAlignment="1">
      <x:alignment vertical="center" wrapText="1"/>
    </x:xf>
    <x:xf numFmtId="0" fontId="0" fillId="38" borderId="0" xfId="0" applyNumberFormat="1" applyFont="1" applyFill="1" applyBorder="1"/>
    <x:xf numFmtId="0" fontId="13" fillId="38" borderId="0" xfId="0" applyNumberFormat="1" applyFont="1" applyFill="1" applyBorder="1"/>
    <x:xf numFmtId="0" fontId="13" fillId="38" borderId="0" xfId="0" applyNumberFormat="1" applyFont="1" applyFill="1" applyBorder="1" applyAlignment="1">
      <x:alignment wrapText="1"/>
    </x:xf>
    <x:xf numFmtId="0" fontId="15" fillId="45" borderId="0" xfId="0" applyNumberFormat="1" applyFont="1" applyFill="1" applyBorder="1" applyAlignment="1">
      <x:alignment vertical="center" wrapText="1"/>
    </x:xf>
    <x:xf numFmtId="0" fontId="8" fillId="39" borderId="0" xfId="0" applyNumberFormat="1" applyFont="1" applyFill="1" applyBorder="1" applyAlignment="1">
      <x:alignment vertical="center" wrapText="1"/>
    </x:xf>
    <x:xf numFmtId="0" fontId="0" fillId="46" borderId="0" xfId="0" applyNumberFormat="1" applyFont="1" applyFill="1" applyBorder="1"/>
    <x:xf numFmtId="0" fontId="30" fillId="46" borderId="0" xfId="0" applyNumberFormat="1" applyFont="1" applyFill="1" applyBorder="1"/>
    <x:xf numFmtId="0" fontId="30" fillId="46" borderId="0" xfId="0" applyNumberFormat="1" applyFont="1" applyFill="1" applyBorder="1" applyAlignment="1">
      <x:alignment wrapText="1"/>
    </x:xf>
    <x:xf numFmtId="0" fontId="7" fillId="43" borderId="0" xfId="0" applyNumberFormat="1" applyFont="1" applyFill="1" applyBorder="1"/>
    <x:xf numFmtId="0" fontId="1" fillId="43" borderId="0" xfId="0" applyNumberFormat="1" applyFont="1" applyFill="1" applyBorder="1"/>
    <x:xf numFmtId="0" fontId="23" fillId="41" borderId="0" xfId="0" applyNumberFormat="1" applyFont="1" applyFill="1" applyBorder="1" applyAlignment="1">
      <x:alignment vertical="center" wrapText="1"/>
    </x:xf>
    <x:xf numFmtId="0" fontId="20" fillId="45" borderId="0" xfId="0" applyNumberFormat="1" applyFont="1" applyFill="1" applyBorder="1" applyAlignment="1">
      <x:alignment horizontal="left" vertical="center"/>
    </x:xf>
    <x:xf numFmtId="0" fontId="4" fillId="39" borderId="0" xfId="0" applyNumberFormat="1" applyFont="1" applyFill="1" applyBorder="1" applyAlignment="1">
      <x:alignment vertical="center"/>
    </x:xf>
    <x:xf numFmtId="0" fontId="8" fillId="41" borderId="0" xfId="0" applyNumberFormat="1" applyFont="1" applyFill="1" applyBorder="1" applyAlignment="1">
      <x:alignment vertical="center"/>
    </x:xf>
    <x:xf numFmtId="0" fontId="21" fillId="39" borderId="0" xfId="0" applyNumberFormat="1" applyFont="1" applyFill="1" applyBorder="1" applyAlignment="1">
      <x:alignment horizontal="center" vertical="center"/>
    </x:xf>
    <x:xf numFmtId="0" fontId="16" fillId="39" borderId="0" xfId="0" applyNumberFormat="1" applyFont="1" applyFill="1" applyBorder="1" applyAlignment="1">
      <x:alignment horizontal="center" vertical="center"/>
    </x:xf>
    <x:xf numFmtId="0" fontId="22" fillId="45" borderId="0" xfId="0" applyNumberFormat="1" applyFont="1" applyFill="1" applyBorder="1" applyAlignment="1">
      <x:alignment vertical="center"/>
    </x:xf>
    <x:xf numFmtId="0" fontId="3" fillId="45" borderId="0" xfId="0" applyNumberFormat="1" applyFont="1" applyFill="1" applyBorder="1" applyAlignment="1">
      <x:alignment vertical="center"/>
    </x:xf>
    <x:xf numFmtId="0" fontId="1" fillId="44" borderId="0" xfId="0" applyNumberFormat="1" applyFont="1" applyFill="1" applyBorder="1" applyAlignment="1">
      <x:alignment vertical="center" wrapText="1"/>
    </x:xf>
    <x:xf numFmtId="0" fontId="13" fillId="44" borderId="0" xfId="0" applyNumberFormat="1" applyFont="1" applyFill="1" applyBorder="1" applyAlignment="1">
      <x:alignment vertical="center"/>
    </x:xf>
    <x:xf numFmtId="0" fontId="29" fillId="45" borderId="0" xfId="0" applyNumberFormat="1" applyFont="1" applyFill="1" applyBorder="1" applyAlignment="1">
      <x:alignment vertical="center" wrapText="1"/>
    </x:xf>
    <x:xf numFmtId="0" fontId="22" fillId="45" borderId="0" xfId="0" applyNumberFormat="1" applyFont="1" applyFill="1" applyBorder="1" applyAlignment="1">
      <x:alignment vertical="center" wrapText="1"/>
    </x:xf>
    <x:xf numFmtId="0" fontId="17" fillId="44" borderId="0" xfId="0" applyNumberFormat="1" applyFont="1" applyFill="1" applyBorder="1" applyAlignment="1">
      <x:alignment vertical="center"/>
    </x:xf>
    <x:xf numFmtId="0" fontId="23" fillId="44" borderId="0" xfId="0" applyNumberFormat="1" applyFont="1" applyFill="1" applyBorder="1" applyAlignment="1">
      <x:alignment vertical="center"/>
    </x:xf>
    <x:xf numFmtId="200" fontId="17" fillId="41" borderId="0" xfId="0" applyNumberFormat="1" applyFont="1" applyFill="1" applyBorder="1" applyAlignment="1">
      <x:alignment vertical="center"/>
    </x:xf>
    <x:xf numFmtId="200" fontId="8" fillId="41" borderId="0" xfId="0" applyNumberFormat="1" applyFont="1" applyFill="1" applyBorder="1" applyAlignment="1">
      <x:alignment vertical="center"/>
    </x:xf>
    <x:xf numFmtId="0" fontId="24" fillId="40" borderId="0" xfId="0" applyNumberFormat="1" applyFont="1" applyFill="1" applyBorder="1" applyAlignment="1">
      <x:alignment vertical="center"/>
    </x:xf>
    <x:xf numFmtId="0" fontId="17" fillId="43" borderId="0" xfId="0" applyNumberFormat="1" applyFont="1" applyFill="1" applyBorder="1" applyAlignment="1">
      <x:alignment vertical="center"/>
    </x:xf>
    <x:xf numFmtId="0" fontId="25" fillId="37" borderId="0" xfId="0" applyNumberFormat="1" applyFont="1" applyFill="1" applyBorder="1" applyAlignment="1">
      <x:alignment vertical="center" wrapText="1"/>
    </x:xf>
    <x:xf numFmtId="0" fontId="26" fillId="37" borderId="0" xfId="0" applyNumberFormat="1" applyFont="1" applyFill="1" applyBorder="1" applyAlignment="1">
      <x:alignment vertical="center" wrapText="1"/>
    </x:xf>
    <x:xf numFmtId="0" fontId="28" fillId="37" borderId="0" xfId="0" applyNumberFormat="1" applyFont="1" applyFill="1" applyBorder="1" applyAlignment="1">
      <x:alignment vertical="center" wrapText="1"/>
    </x:xf>
    <x:xf numFmtId="0" fontId="19" fillId="46" borderId="0" xfId="0" applyNumberFormat="1" applyFont="1" applyFill="1" applyBorder="1" applyAlignment="1">
      <x:alignment vertical="center" wrapText="1"/>
    </x:xf>
    <x:xf numFmtId="0" fontId="2" fillId="45" borderId="0" xfId="0" applyNumberFormat="1" applyFont="1" applyFill="1" applyBorder="1" applyAlignment="1">
      <x:alignment vertical="center" wrapText="1"/>
    </x:xf>
    <x:xf numFmtId="0" fontId="8" fillId="41" borderId="0" xfId="0" applyNumberFormat="1" applyFont="1" applyFill="1" applyBorder="1" applyAlignment="1">
      <x:alignment vertical="center" wrapText="1"/>
    </x:xf>
    <x:xf numFmtId="0" fontId="9" fillId="39" borderId="0" xfId="0" applyNumberFormat="1" applyFont="1" applyFill="1" applyBorder="1"/>
    <x:xf numFmtId="0" fontId="18" fillId="37" borderId="0" xfId="0" applyNumberFormat="1" applyFont="1" applyFill="1" applyBorder="1"/>
    <x:xf numFmtId="0" fontId="0" fillId="37" borderId="0" xfId="0" applyNumberFormat="1" applyFont="1" applyFill="1" applyBorder="1"/>
    <x:xf numFmtId="0" fontId="18" fillId="40" borderId="0" xfId="0" applyNumberFormat="1" applyFont="1" applyFill="1" applyBorder="1"/>
    <x:xf numFmtId="0" fontId="0" fillId="40" borderId="0" xfId="0" applyNumberFormat="1" applyFont="1" applyFill="1" applyBorder="1"/>
    <x:xf numFmtId="0" fontId="18" fillId="38" borderId="0" xfId="0" applyNumberFormat="1" applyFont="1" applyFill="1" applyBorder="1" applyAlignment="1">
      <x:alignment wrapText="1"/>
    </x:xf>
    <x:xf numFmtId="0" fontId="0" fillId="38" borderId="0" xfId="0" applyNumberFormat="1" applyFont="1" applyFill="1" applyBorder="1" applyAlignment="1">
      <x:alignment wrapText="1"/>
    </x:xf>
    <x:xf numFmtId="0" fontId="9" fillId="45" borderId="0" xfId="0" applyNumberFormat="1" applyFont="1" applyFill="1" applyBorder="1"/>
    <x:xf numFmtId="205" fontId="13" fillId="24" borderId="0" xfId="0" applyNumberFormat="1" applyFont="1" applyFill="1" applyBorder="1" applyAlignment="1">
      <x:alignment vertical="center" wrapText="1"/>
    </x:xf>
    <x:xf numFmtId="200" fontId="13" fillId="24" borderId="0" xfId="0" applyNumberFormat="1" applyFont="1" applyFill="1" applyBorder="1" applyAlignment="1">
      <x:alignment vertical="center" wrapText="1"/>
    </x:xf>
    <x:xf numFmtId="0" fontId="13" fillId="25" borderId="0" xfId="0" applyNumberFormat="1" applyFont="1" applyFill="1" applyBorder="1" applyAlignment="1">
      <x:alignment vertical="center" wrapText="1"/>
    </x:xf>
    <x:xf numFmtId="205" fontId="13" fillId="25" borderId="0" xfId="0" applyNumberFormat="1" applyFont="1" applyFill="1" applyBorder="1" applyAlignment="1">
      <x:alignment vertical="center" wrapText="1"/>
    </x:xf>
    <x:xf numFmtId="200" fontId="13" fillId="25" borderId="0" xfId="0" applyNumberFormat="1" applyFont="1" applyFill="1" applyBorder="1" applyAlignment="1">
      <x:alignment vertical="center" wrapText="1"/>
    </x:xf>
    <x:xf numFmtId="0" fontId="13" fillId="47" borderId="0" xfId="0" applyNumberFormat="1" applyFont="1" applyFill="1" applyBorder="1" applyAlignment="1">
      <x:alignment vertical="center" wrapText="1"/>
    </x:xf>
    <x:xf numFmtId="0" fontId="14" fillId="47" borderId="0" xfId="0" applyNumberFormat="1" applyFont="1" applyFill="1" applyBorder="1" applyAlignment="1">
      <x:alignment vertical="center" wrapText="1"/>
    </x:xf>
    <x:xf numFmtId="0" fontId="1" fillId="48" borderId="0" xfId="0" applyNumberFormat="1" applyFont="1" applyFill="1" applyBorder="1" applyAlignment="1">
      <x:alignment vertical="center" wrapText="1"/>
    </x:xf>
    <x:xf numFmtId="0" fontId="15" fillId="49" borderId="0" xfId="0" applyNumberFormat="1" applyFont="1" applyFill="1" applyBorder="1" applyAlignment="1">
      <x:alignment vertical="center" wrapText="1"/>
    </x:xf>
    <x:xf numFmtId="0" fontId="13" fillId="50" borderId="0" xfId="0" applyNumberFormat="1" applyFont="1" applyFill="1" applyBorder="1" applyAlignment="1">
      <x:alignment vertical="center" wrapText="1"/>
    </x:xf>
    <x:xf numFmtId="0" fontId="13" fillId="48" borderId="0" xfId="0" applyNumberFormat="1" applyFont="1" applyFill="1" applyBorder="1" applyAlignment="1">
      <x:alignment vertical="center" wrapText="1"/>
    </x:xf>
    <x:xf numFmtId="0" fontId="15" fillId="51" borderId="0" xfId="0" applyNumberFormat="1" applyFont="1" applyFill="1" applyBorder="1" applyAlignment="1">
      <x:alignment vertical="center" wrapText="1"/>
    </x:xf>
    <x:xf numFmtId="0" fontId="15" fillId="48" borderId="0" xfId="0" applyNumberFormat="1" applyFont="1" applyFill="1" applyBorder="1" applyAlignment="1">
      <x:alignment vertical="center" wrapText="1"/>
    </x:xf>
    <x:xf numFmtId="0" fontId="23" fillId="48" borderId="0" xfId="0" applyNumberFormat="1" applyFont="1" applyFill="1" applyBorder="1" applyAlignment="1">
      <x:alignment vertical="center" wrapText="1"/>
    </x:xf>
    <x:xf numFmtId="0" fontId="21" fillId="52" borderId="0" xfId="0" applyNumberFormat="1" applyFont="1" applyFill="1" applyBorder="1" applyAlignment="1">
      <x:alignment horizontal="center" vertical="center"/>
    </x:xf>
    <x:xf numFmtId="0" fontId="16" fillId="52" borderId="0" xfId="0" applyNumberFormat="1" applyFont="1" applyFill="1" applyBorder="1" applyAlignment="1">
      <x:alignment horizontal="center" vertical="center"/>
    </x:xf>
    <x:xf numFmtId="0" fontId="23" fillId="50" borderId="0" xfId="0" applyNumberFormat="1" applyFont="1" applyFill="1" applyBorder="1" applyAlignment="1">
      <x:alignment vertical="center"/>
    </x:xf>
    <x:xf numFmtId="200" fontId="17" fillId="50" borderId="0" xfId="0" applyNumberFormat="1" applyFont="1" applyFill="1" applyBorder="1" applyAlignment="1">
      <x:alignment vertical="center"/>
    </x:xf>
    <x:xf numFmtId="200" fontId="8" fillId="50" borderId="0" xfId="0" applyNumberFormat="1" applyFont="1" applyFill="1" applyBorder="1" applyAlignment="1">
      <x:alignment vertical="center"/>
    </x:xf>
    <x:xf numFmtId="200" fontId="24" fillId="50" borderId="0" xfId="0" applyNumberFormat="1" applyFont="1" applyFill="1" applyBorder="1" applyAlignment="1">
      <x:alignment vertical="center"/>
    </x:xf>
    <x:xf numFmtId="0" fontId="17" fillId="50" borderId="0" xfId="0" applyNumberFormat="1" applyFont="1" applyFill="1" applyBorder="1" applyAlignment="1">
      <x:alignment vertical="center"/>
    </x:xf>
    <x:xf numFmtId="0" fontId="13" fillId="53" borderId="0" xfId="0" applyNumberFormat="1" applyFont="1" applyFill="1" applyBorder="1" applyAlignment="1">
      <x:alignment vertical="center" wrapText="1"/>
    </x:xf>
    <x:xf numFmtId="205" fontId="13" fillId="53" borderId="0" xfId="0" applyNumberFormat="1" applyFont="1" applyFill="1" applyBorder="1" applyAlignment="1">
      <x:alignment vertical="center" wrapText="1"/>
    </x:xf>
    <x:xf numFmtId="200" fontId="13" fillId="53" borderId="0" xfId="0" applyNumberFormat="1" applyFont="1" applyFill="1" applyBorder="1" applyAlignment="1">
      <x:alignment vertical="center" wrapText="1"/>
    </x:xf>
    <x:xf numFmtId="0" fontId="13" fillId="54" borderId="0" xfId="0" applyNumberFormat="1" applyFont="1" applyFill="1" applyBorder="1" applyAlignment="1">
      <x:alignment vertical="center" wrapText="1"/>
    </x:xf>
    <x:xf numFmtId="205" fontId="13" fillId="54" borderId="0" xfId="0" applyNumberFormat="1" applyFont="1" applyFill="1" applyBorder="1" applyAlignment="1">
      <x:alignment vertical="center" wrapText="1"/>
    </x:xf>
    <x:xf numFmtId="200" fontId="13" fillId="54" borderId="0" xfId="0" applyNumberFormat="1" applyFont="1" applyFill="1" applyBorder="1" applyAlignment="1">
      <x:alignment vertical="center" wrapText="1"/>
    </x:xf>
    <x:xf numFmtId="0" fontId="15" fillId="55" borderId="0" xfId="0" applyNumberFormat="1" applyFont="1" applyFill="1" applyBorder="1" applyAlignment="1">
      <x:alignment vertical="center" wrapText="1"/>
    </x:xf>
    <x:xf numFmtId="0" fontId="8" fillId="49" borderId="0" xfId="0" applyNumberFormat="1" applyFont="1" applyFill="1" applyBorder="1" applyAlignment="1">
      <x:alignment vertical="center" wrapText="1"/>
    </x:xf>
    <x:xf numFmtId="0" fontId="30" fillId="56" borderId="0" xfId="0" applyNumberFormat="1" applyFont="1" applyFill="1" applyBorder="1" applyAlignment="1">
      <x:alignment wrapText="1"/>
    </x:xf>
    <x:xf numFmtId="0" fontId="7" fillId="53" borderId="0" xfId="0" applyNumberFormat="1" applyFont="1" applyFill="1" applyBorder="1"/>
    <x:xf numFmtId="0" fontId="1" fillId="53" borderId="0" xfId="0" applyNumberFormat="1" applyFont="1" applyFill="1" applyBorder="1"/>
    <x:xf numFmtId="0" fontId="23" fillId="51" borderId="0" xfId="0" applyNumberFormat="1" applyFont="1" applyFill="1" applyBorder="1" applyAlignment="1">
      <x:alignment vertical="center" wrapText="1"/>
    </x:xf>
    <x:xf numFmtId="0" fontId="20" fillId="55" borderId="0" xfId="0" applyNumberFormat="1" applyFont="1" applyFill="1" applyBorder="1" applyAlignment="1">
      <x:alignment horizontal="left" vertical="center"/>
    </x:xf>
    <x:xf numFmtId="0" fontId="4" fillId="49" borderId="0" xfId="0" applyNumberFormat="1" applyFont="1" applyFill="1" applyBorder="1" applyAlignment="1">
      <x:alignment vertical="center"/>
    </x:xf>
    <x:xf numFmtId="0" fontId="8" fillId="51" borderId="0" xfId="0" applyNumberFormat="1" applyFont="1" applyFill="1" applyBorder="1" applyAlignment="1">
      <x:alignment vertical="center"/>
    </x:xf>
    <x:xf numFmtId="0" fontId="21" fillId="49" borderId="0" xfId="0" applyNumberFormat="1" applyFont="1" applyFill="1" applyBorder="1" applyAlignment="1">
      <x:alignment horizontal="center" vertical="center"/>
    </x:xf>
    <x:xf numFmtId="0" fontId="16" fillId="49" borderId="0" xfId="0" applyNumberFormat="1" applyFont="1" applyFill="1" applyBorder="1" applyAlignment="1">
      <x:alignment horizontal="center" vertical="center"/>
    </x:xf>
    <x:xf numFmtId="0" fontId="22" fillId="55" borderId="0" xfId="0" applyNumberFormat="1" applyFont="1" applyFill="1" applyBorder="1" applyAlignment="1">
      <x:alignment vertical="center"/>
    </x:xf>
    <x:xf numFmtId="0" fontId="3" fillId="55" borderId="0" xfId="0" applyNumberFormat="1" applyFont="1" applyFill="1" applyBorder="1" applyAlignment="1">
      <x:alignment vertical="center"/>
    </x:xf>
    <x:xf numFmtId="0" fontId="1" fillId="54" borderId="0" xfId="0" applyNumberFormat="1" applyFont="1" applyFill="1" applyBorder="1" applyAlignment="1">
      <x:alignment vertical="center" wrapText="1"/>
    </x:xf>
    <x:xf numFmtId="0" fontId="13" fillId="54" borderId="0" xfId="0" applyNumberFormat="1" applyFont="1" applyFill="1" applyBorder="1" applyAlignment="1">
      <x:alignment vertical="center"/>
    </x:xf>
    <x:xf numFmtId="0" fontId="29" fillId="55" borderId="0" xfId="0" applyNumberFormat="1" applyFont="1" applyFill="1" applyBorder="1" applyAlignment="1">
      <x:alignment vertical="center" wrapText="1"/>
    </x:xf>
    <x:xf numFmtId="0" fontId="22" fillId="55" borderId="0" xfId="0" applyNumberFormat="1" applyFont="1" applyFill="1" applyBorder="1" applyAlignment="1">
      <x:alignment vertical="center" wrapText="1"/>
    </x:xf>
    <x:xf numFmtId="0" fontId="17" fillId="54" borderId="0" xfId="0" applyNumberFormat="1" applyFont="1" applyFill="1" applyBorder="1" applyAlignment="1">
      <x:alignment vertical="center"/>
    </x:xf>
    <x:xf numFmtId="0" fontId="23" fillId="54" borderId="0" xfId="0" applyNumberFormat="1" applyFont="1" applyFill="1" applyBorder="1" applyAlignment="1">
      <x:alignment vertical="center"/>
    </x:xf>
    <x:xf numFmtId="200" fontId="17" fillId="51" borderId="0" xfId="0" applyNumberFormat="1" applyFont="1" applyFill="1" applyBorder="1" applyAlignment="1">
      <x:alignment vertical="center"/>
    </x:xf>
    <x:xf numFmtId="200" fontId="8" fillId="51" borderId="0" xfId="0" applyNumberFormat="1" applyFont="1" applyFill="1" applyBorder="1" applyAlignment="1">
      <x:alignment vertical="center"/>
    </x:xf>
    <x:xf numFmtId="0" fontId="24" fillId="50" borderId="0" xfId="0" applyNumberFormat="1" applyFont="1" applyFill="1" applyBorder="1" applyAlignment="1">
      <x:alignment vertical="center"/>
    </x:xf>
    <x:xf numFmtId="0" fontId="17" fillId="53" borderId="0" xfId="0" applyNumberFormat="1" applyFont="1" applyFill="1" applyBorder="1" applyAlignment="1">
      <x:alignment vertical="center"/>
    </x:xf>
    <x:xf numFmtId="0" fontId="25" fillId="47" borderId="0" xfId="0" applyNumberFormat="1" applyFont="1" applyFill="1" applyBorder="1" applyAlignment="1">
      <x:alignment vertical="center" wrapText="1"/>
    </x:xf>
    <x:xf numFmtId="0" fontId="26" fillId="47" borderId="0" xfId="0" applyNumberFormat="1" applyFont="1" applyFill="1" applyBorder="1" applyAlignment="1">
      <x:alignment vertical="center" wrapText="1"/>
    </x:xf>
    <x:xf numFmtId="0" fontId="28" fillId="47" borderId="0" xfId="0" applyNumberFormat="1" applyFont="1" applyFill="1" applyBorder="1" applyAlignment="1">
      <x:alignment vertical="center" wrapText="1"/>
    </x:xf>
    <x:xf numFmtId="0" fontId="19" fillId="56" borderId="0" xfId="0" applyNumberFormat="1" applyFont="1" applyFill="1" applyBorder="1" applyAlignment="1">
      <x:alignment vertical="center" wrapText="1"/>
    </x:xf>
    <x:xf numFmtId="0" fontId="2" fillId="55" borderId="0" xfId="0" applyNumberFormat="1" applyFont="1" applyFill="1" applyBorder="1" applyAlignment="1">
      <x:alignment vertical="center" wrapText="1"/>
    </x:xf>
    <x:xf numFmtId="0" fontId="8" fillId="51" borderId="0" xfId="0" applyNumberFormat="1" applyFont="1" applyFill="1" applyBorder="1" applyAlignment="1">
      <x:alignment vertical="center" wrapText="1"/>
    </x:xf>
    <x:xf numFmtId="0" fontId="9" fillId="49" borderId="0" xfId="0" applyNumberFormat="1" applyFont="1" applyFill="1" applyBorder="1"/>
    <x:xf numFmtId="0" fontId="18" fillId="47" borderId="0" xfId="0" applyNumberFormat="1" applyFont="1" applyFill="1" applyBorder="1"/>
    <x:xf numFmtId="0" fontId="0" fillId="47" borderId="0" xfId="0" applyNumberFormat="1" applyFont="1" applyFill="1" applyBorder="1"/>
    <x:xf numFmtId="0" fontId="18" fillId="50" borderId="0" xfId="0" applyNumberFormat="1" applyFont="1" applyFill="1" applyBorder="1"/>
    <x:xf numFmtId="0" fontId="0" fillId="50" borderId="0" xfId="0" applyNumberFormat="1" applyFont="1" applyFill="1" applyBorder="1"/>
    <x:xf numFmtId="0" fontId="18" fillId="48" borderId="0" xfId="0" applyNumberFormat="1" applyFont="1" applyFill="1" applyBorder="1" applyAlignment="1">
      <x:alignment wrapText="1"/>
    </x:xf>
    <x:xf numFmtId="0" fontId="0" fillId="48" borderId="0" xfId="0" applyNumberFormat="1" applyFont="1" applyFill="1" applyBorder="1" applyAlignment="1">
      <x:alignment wrapText="1"/>
    </x:xf>
    <x:xf numFmtId="0" fontId="9" fillId="55" borderId="0" xfId="0" applyNumberFormat="1" applyFont="1" applyFill="1" applyBorder="1"/>
    <x:xf numFmtId="0" fontId="13" fillId="57" borderId="0" xfId="0" applyNumberFormat="1" applyFont="1" applyFill="1" applyBorder="1" applyAlignment="1">
      <x:alignment vertical="center" wrapText="1"/>
    </x:xf>
    <x:xf numFmtId="0" fontId="14" fillId="57" borderId="0" xfId="0" applyNumberFormat="1" applyFont="1" applyFill="1" applyBorder="1" applyAlignment="1">
      <x:alignment vertical="center" wrapText="1"/>
    </x:xf>
    <x:xf numFmtId="0" fontId="1" fillId="58" borderId="0" xfId="0" applyNumberFormat="1" applyFont="1" applyFill="1" applyBorder="1" applyAlignment="1">
      <x:alignment vertical="center" wrapText="1"/>
    </x:xf>
    <x:xf numFmtId="0" fontId="15" fillId="59" borderId="0" xfId="0" applyNumberFormat="1" applyFont="1" applyFill="1" applyBorder="1" applyAlignment="1">
      <x:alignment vertical="center" wrapText="1"/>
    </x:xf>
    <x:xf numFmtId="0" fontId="13" fillId="60" borderId="0" xfId="0" applyNumberFormat="1" applyFont="1" applyFill="1" applyBorder="1" applyAlignment="1">
      <x:alignment vertical="center" wrapText="1"/>
    </x:xf>
    <x:xf numFmtId="0" fontId="13" fillId="58" borderId="0" xfId="0" applyNumberFormat="1" applyFont="1" applyFill="1" applyBorder="1" applyAlignment="1">
      <x:alignment vertical="center" wrapText="1"/>
    </x:xf>
    <x:xf numFmtId="0" fontId="15" fillId="61" borderId="0" xfId="0" applyNumberFormat="1" applyFont="1" applyFill="1" applyBorder="1" applyAlignment="1">
      <x:alignment vertical="center" wrapText="1"/>
    </x:xf>
    <x:xf numFmtId="0" fontId="15" fillId="58" borderId="0" xfId="0" applyNumberFormat="1" applyFont="1" applyFill="1" applyBorder="1" applyAlignment="1">
      <x:alignment vertical="center" wrapText="1"/>
    </x:xf>
    <x:xf numFmtId="0" fontId="23" fillId="58" borderId="0" xfId="0" applyNumberFormat="1" applyFont="1" applyFill="1" applyBorder="1" applyAlignment="1">
      <x:alignment vertical="center" wrapText="1"/>
    </x:xf>
    <x:xf numFmtId="0" fontId="21" fillId="62" borderId="0" xfId="0" applyNumberFormat="1" applyFont="1" applyFill="1" applyBorder="1" applyAlignment="1">
      <x:alignment horizontal="center" vertical="center"/>
    </x:xf>
    <x:xf numFmtId="0" fontId="16" fillId="62" borderId="0" xfId="0" applyNumberFormat="1" applyFont="1" applyFill="1" applyBorder="1" applyAlignment="1">
      <x:alignment horizontal="center" vertical="center"/>
    </x:xf>
    <x:xf numFmtId="0" fontId="23" fillId="60" borderId="0" xfId="0" applyNumberFormat="1" applyFont="1" applyFill="1" applyBorder="1" applyAlignment="1">
      <x:alignment vertical="center"/>
    </x:xf>
    <x:xf numFmtId="200" fontId="17" fillId="60" borderId="0" xfId="0" applyNumberFormat="1" applyFont="1" applyFill="1" applyBorder="1" applyAlignment="1">
      <x:alignment vertical="center"/>
    </x:xf>
    <x:xf numFmtId="200" fontId="8" fillId="60" borderId="0" xfId="0" applyNumberFormat="1" applyFont="1" applyFill="1" applyBorder="1" applyAlignment="1">
      <x:alignment vertical="center"/>
    </x:xf>
    <x:xf numFmtId="200" fontId="24" fillId="60" borderId="0" xfId="0" applyNumberFormat="1" applyFont="1" applyFill="1" applyBorder="1" applyAlignment="1">
      <x:alignment vertical="center"/>
    </x:xf>
    <x:xf numFmtId="0" fontId="17" fillId="60" borderId="0" xfId="0" applyNumberFormat="1" applyFont="1" applyFill="1" applyBorder="1" applyAlignment="1">
      <x:alignment vertical="center"/>
    </x:xf>
    <x:xf numFmtId="0" fontId="13" fillId="63" borderId="0" xfId="0" applyNumberFormat="1" applyFont="1" applyFill="1" applyBorder="1" applyAlignment="1">
      <x:alignment vertical="center" wrapText="1"/>
    </x:xf>
    <x:xf numFmtId="205" fontId="13" fillId="63" borderId="0" xfId="0" applyNumberFormat="1" applyFont="1" applyFill="1" applyBorder="1" applyAlignment="1">
      <x:alignment vertical="center" wrapText="1"/>
    </x:xf>
    <x:xf numFmtId="200" fontId="13" fillId="63" borderId="0" xfId="0" applyNumberFormat="1" applyFont="1" applyFill="1" applyBorder="1" applyAlignment="1">
      <x:alignment vertical="center" wrapText="1"/>
    </x:xf>
    <x:xf numFmtId="0" fontId="13" fillId="64" borderId="0" xfId="0" applyNumberFormat="1" applyFont="1" applyFill="1" applyBorder="1" applyAlignment="1">
      <x:alignment vertical="center" wrapText="1"/>
    </x:xf>
    <x:xf numFmtId="205" fontId="13" fillId="64" borderId="0" xfId="0" applyNumberFormat="1" applyFont="1" applyFill="1" applyBorder="1" applyAlignment="1">
      <x:alignment vertical="center" wrapText="1"/>
    </x:xf>
    <x:xf numFmtId="200" fontId="13" fillId="64" borderId="0" xfId="0" applyNumberFormat="1" applyFont="1" applyFill="1" applyBorder="1" applyAlignment="1">
      <x:alignment vertical="center" wrapText="1"/>
    </x:xf>
    <x:xf numFmtId="0" fontId="15" fillId="65" borderId="0" xfId="0" applyNumberFormat="1" applyFont="1" applyFill="1" applyBorder="1" applyAlignment="1">
      <x:alignment vertical="center" wrapText="1"/>
    </x:xf>
    <x:xf numFmtId="0" fontId="8" fillId="59" borderId="0" xfId="0" applyNumberFormat="1" applyFont="1" applyFill="1" applyBorder="1" applyAlignment="1">
      <x:alignment vertical="center" wrapText="1"/>
    </x:xf>
    <x:xf numFmtId="0" fontId="30" fillId="66" borderId="0" xfId="0" applyNumberFormat="1" applyFont="1" applyFill="1" applyBorder="1" applyAlignment="1">
      <x:alignment wrapText="1"/>
    </x:xf>
    <x:xf numFmtId="0" fontId="7" fillId="63" borderId="0" xfId="0" applyNumberFormat="1" applyFont="1" applyFill="1" applyBorder="1"/>
    <x:xf numFmtId="0" fontId="1" fillId="63" borderId="0" xfId="0" applyNumberFormat="1" applyFont="1" applyFill="1" applyBorder="1"/>
    <x:xf numFmtId="0" fontId="1" fillId="60" borderId="0" xfId="0" applyNumberFormat="1" applyFont="1" applyFill="1" applyBorder="1"/>
    <x:xf numFmtId="0" fontId="1" fillId="60" borderId="0" xfId="0" applyNumberFormat="1" applyFont="1" applyFill="1" applyBorder="1" applyAlignment="1">
      <x:alignment vertical="center" wrapText="1"/>
    </x:xf>
    <x:xf numFmtId="0" fontId="13" fillId="60" borderId="0" xfId="0" applyNumberFormat="1" applyFont="1" applyFill="1" applyBorder="1"/>
    <x:xf numFmtId="0" fontId="13" fillId="60" borderId="0" xfId="0" applyNumberFormat="1" applyFont="1" applyFill="1" applyBorder="1" applyAlignment="1">
      <x:alignment wrapText="1"/>
    </x:xf>
    <x:xf numFmtId="0" fontId="23" fillId="61" borderId="0" xfId="0" applyNumberFormat="1" applyFont="1" applyFill="1" applyBorder="1" applyAlignment="1">
      <x:alignment vertical="center" wrapText="1"/>
    </x:xf>
    <x:xf numFmtId="0" fontId="13" fillId="61" borderId="0" xfId="0" applyNumberFormat="1" applyFont="1" applyFill="1" applyBorder="1" applyAlignment="1">
      <x:alignment vertical="center" wrapText="1"/>
    </x:xf>
    <x:xf numFmtId="0" fontId="0" fillId="58" borderId="0" xfId="0" applyNumberFormat="1" applyFont="1" applyFill="1" applyBorder="1"/>
    <x:xf numFmtId="0" fontId="13" fillId="58" borderId="0" xfId="0" applyNumberFormat="1" applyFont="1" applyFill="1" applyBorder="1"/>
    <x:xf numFmtId="0" fontId="13" fillId="58" borderId="0" xfId="0" applyNumberFormat="1" applyFont="1" applyFill="1" applyBorder="1" applyAlignment="1">
      <x:alignment wrapText="1"/>
    </x:xf>
    <x:xf numFmtId="0" fontId="20" fillId="65" borderId="0" xfId="0" applyNumberFormat="1" applyFont="1" applyFill="1" applyBorder="1" applyAlignment="1">
      <x:alignment horizontal="left" vertical="center"/>
    </x:xf>
    <x:xf numFmtId="0" fontId="4" fillId="59" borderId="0" xfId="0" applyNumberFormat="1" applyFont="1" applyFill="1" applyBorder="1" applyAlignment="1">
      <x:alignment vertical="center"/>
    </x:xf>
    <x:xf numFmtId="0" fontId="8" fillId="61" borderId="0" xfId="0" applyNumberFormat="1" applyFont="1" applyFill="1" applyBorder="1" applyAlignment="1">
      <x:alignment vertical="center"/>
    </x:xf>
    <x:xf numFmtId="0" fontId="21" fillId="59" borderId="0" xfId="0" applyNumberFormat="1" applyFont="1" applyFill="1" applyBorder="1" applyAlignment="1">
      <x:alignment horizontal="center" vertical="center"/>
    </x:xf>
    <x:xf numFmtId="0" fontId="16" fillId="59" borderId="0" xfId="0" applyNumberFormat="1" applyFont="1" applyFill="1" applyBorder="1" applyAlignment="1">
      <x:alignment horizontal="center" vertical="center"/>
    </x:xf>
    <x:xf numFmtId="0" fontId="22" fillId="65" borderId="0" xfId="0" applyNumberFormat="1" applyFont="1" applyFill="1" applyBorder="1" applyAlignment="1">
      <x:alignment vertical="center"/>
    </x:xf>
    <x:xf numFmtId="0" fontId="3" fillId="65" borderId="0" xfId="0" applyNumberFormat="1" applyFont="1" applyFill="1" applyBorder="1" applyAlignment="1">
      <x:alignment vertical="center"/>
    </x:xf>
    <x:xf numFmtId="0" fontId="1" fillId="64" borderId="0" xfId="0" applyNumberFormat="1" applyFont="1" applyFill="1" applyBorder="1" applyAlignment="1">
      <x:alignment vertical="center" wrapText="1"/>
    </x:xf>
    <x:xf numFmtId="0" fontId="13" fillId="64" borderId="0" xfId="0" applyNumberFormat="1" applyFont="1" applyFill="1" applyBorder="1" applyAlignment="1">
      <x:alignment vertical="center"/>
    </x:xf>
    <x:xf numFmtId="0" fontId="29" fillId="65" borderId="0" xfId="0" applyNumberFormat="1" applyFont="1" applyFill="1" applyBorder="1" applyAlignment="1">
      <x:alignment vertical="center" wrapText="1"/>
    </x:xf>
    <x:xf numFmtId="0" fontId="22" fillId="65" borderId="0" xfId="0" applyNumberFormat="1" applyFont="1" applyFill="1" applyBorder="1" applyAlignment="1">
      <x:alignment vertical="center" wrapText="1"/>
    </x:xf>
    <x:xf numFmtId="0" fontId="17" fillId="64" borderId="0" xfId="0" applyNumberFormat="1" applyFont="1" applyFill="1" applyBorder="1" applyAlignment="1">
      <x:alignment vertical="center"/>
    </x:xf>
    <x:xf numFmtId="0" fontId="23" fillId="64" borderId="0" xfId="0" applyNumberFormat="1" applyFont="1" applyFill="1" applyBorder="1" applyAlignment="1">
      <x:alignment vertical="center"/>
    </x:xf>
    <x:xf numFmtId="200" fontId="17" fillId="61" borderId="0" xfId="0" applyNumberFormat="1" applyFont="1" applyFill="1" applyBorder="1" applyAlignment="1">
      <x:alignment vertical="center"/>
    </x:xf>
    <x:xf numFmtId="200" fontId="8" fillId="61" borderId="0" xfId="0" applyNumberFormat="1" applyFont="1" applyFill="1" applyBorder="1" applyAlignment="1">
      <x:alignment vertical="center"/>
    </x:xf>
    <x:xf numFmtId="0" fontId="24" fillId="60" borderId="0" xfId="0" applyNumberFormat="1" applyFont="1" applyFill="1" applyBorder="1" applyAlignment="1">
      <x:alignment vertical="center"/>
    </x:xf>
    <x:xf numFmtId="0" fontId="17" fillId="63" borderId="0" xfId="0" applyNumberFormat="1" applyFont="1" applyFill="1" applyBorder="1" applyAlignment="1">
      <x:alignment vertical="center"/>
    </x:xf>
    <x:xf numFmtId="0" fontId="25" fillId="57" borderId="0" xfId="0" applyNumberFormat="1" applyFont="1" applyFill="1" applyBorder="1" applyAlignment="1">
      <x:alignment vertical="center" wrapText="1"/>
    </x:xf>
    <x:xf numFmtId="0" fontId="26" fillId="57" borderId="0" xfId="0" applyNumberFormat="1" applyFont="1" applyFill="1" applyBorder="1" applyAlignment="1">
      <x:alignment vertical="center" wrapText="1"/>
    </x:xf>
    <x:xf numFmtId="0" fontId="28" fillId="57" borderId="0" xfId="0" applyNumberFormat="1" applyFont="1" applyFill="1" applyBorder="1" applyAlignment="1">
      <x:alignment vertical="center" wrapText="1"/>
    </x:xf>
    <x:xf numFmtId="0" fontId="19" fillId="66" borderId="0" xfId="0" applyNumberFormat="1" applyFont="1" applyFill="1" applyBorder="1" applyAlignment="1">
      <x:alignment vertical="center" wrapText="1"/>
    </x:xf>
    <x:xf numFmtId="0" fontId="2" fillId="65" borderId="0" xfId="0" applyNumberFormat="1" applyFont="1" applyFill="1" applyBorder="1" applyAlignment="1">
      <x:alignment vertical="center" wrapText="1"/>
    </x:xf>
    <x:xf numFmtId="0" fontId="8" fillId="61" borderId="0" xfId="0" applyNumberFormat="1" applyFont="1" applyFill="1" applyBorder="1" applyAlignment="1">
      <x:alignment vertical="center" wrapText="1"/>
    </x:xf>
    <x:xf numFmtId="0" fontId="9" fillId="59" borderId="0" xfId="0" applyNumberFormat="1" applyFont="1" applyFill="1" applyBorder="1"/>
    <x:xf numFmtId="0" fontId="18" fillId="57" borderId="0" xfId="0" applyNumberFormat="1" applyFont="1" applyFill="1" applyBorder="1"/>
    <x:xf numFmtId="0" fontId="0" fillId="57" borderId="0" xfId="0" applyNumberFormat="1" applyFont="1" applyFill="1" applyBorder="1"/>
    <x:xf numFmtId="0" fontId="18" fillId="60" borderId="0" xfId="0" applyNumberFormat="1" applyFont="1" applyFill="1" applyBorder="1"/>
    <x:xf numFmtId="0" fontId="0" fillId="60" borderId="0" xfId="0" applyNumberFormat="1" applyFont="1" applyFill="1" applyBorder="1"/>
    <x:xf numFmtId="0" fontId="18" fillId="58" borderId="0" xfId="0" applyNumberFormat="1" applyFont="1" applyFill="1" applyBorder="1" applyAlignment="1">
      <x:alignment wrapText="1"/>
    </x:xf>
    <x:xf numFmtId="0" fontId="0" fillId="58" borderId="0" xfId="0" applyNumberFormat="1" applyFont="1" applyFill="1" applyBorder="1" applyAlignment="1">
      <x:alignment wrapText="1"/>
    </x:xf>
    <x:xf numFmtId="0" fontId="9" fillId="65" borderId="0" xfId="0" applyNumberFormat="1" applyFont="1" applyFill="1" applyBorder="1"/>
    <x:xf numFmtId="0" fontId="13" fillId="67" borderId="0" xfId="0" applyNumberFormat="1" applyFont="1" applyFill="1" applyBorder="1" applyAlignment="1">
      <x:alignment vertical="center" wrapText="1"/>
    </x:xf>
    <x:xf numFmtId="0" fontId="14" fillId="67" borderId="0" xfId="0" applyNumberFormat="1" applyFont="1" applyFill="1" applyBorder="1" applyAlignment="1">
      <x:alignment vertical="center" wrapText="1"/>
    </x:xf>
    <x:xf numFmtId="0" fontId="13" fillId="68" borderId="0" xfId="0" applyNumberFormat="1" applyFont="1" applyFill="1" applyBorder="1" applyAlignment="1">
      <x:alignment vertical="center" wrapText="1"/>
    </x:xf>
    <x:xf numFmtId="0" fontId="1" fillId="68" borderId="0" xfId="0" applyNumberFormat="1" applyFont="1" applyFill="1" applyBorder="1" applyAlignment="1">
      <x:alignment vertical="center" wrapText="1"/>
    </x:xf>
    <x:xf numFmtId="0" fontId="15" fillId="69" borderId="0" xfId="0" applyNumberFormat="1" applyFont="1" applyFill="1" applyBorder="1" applyAlignment="1">
      <x:alignment vertical="center" wrapText="1"/>
    </x:xf>
    <x:xf numFmtId="0" fontId="13" fillId="70" borderId="0" xfId="0" applyNumberFormat="1" applyFont="1" applyFill="1" applyBorder="1" applyAlignment="1">
      <x:alignment vertical="center" wrapText="1"/>
    </x:xf>
    <x:xf numFmtId="0" fontId="15" fillId="71" borderId="0" xfId="0" applyNumberFormat="1" applyFont="1" applyFill="1" applyBorder="1" applyAlignment="1">
      <x:alignment vertical="center" wrapText="1"/>
    </x:xf>
    <x:xf numFmtId="0" fontId="15" fillId="68" borderId="0" xfId="0" applyNumberFormat="1" applyFont="1" applyFill="1" applyBorder="1" applyAlignment="1">
      <x:alignment vertical="center" wrapText="1"/>
    </x:xf>
    <x:xf numFmtId="0" fontId="23" fillId="68" borderId="0" xfId="0" applyNumberFormat="1" applyFont="1" applyFill="1" applyBorder="1" applyAlignment="1">
      <x:alignment vertical="center" wrapText="1"/>
    </x:xf>
    <x:xf numFmtId="0" fontId="21" fillId="72" borderId="0" xfId="0" applyNumberFormat="1" applyFont="1" applyFill="1" applyBorder="1" applyAlignment="1">
      <x:alignment horizontal="center" vertical="center"/>
    </x:xf>
    <x:xf numFmtId="0" fontId="16" fillId="72" borderId="0" xfId="0" applyNumberFormat="1" applyFont="1" applyFill="1" applyBorder="1" applyAlignment="1">
      <x:alignment horizontal="center" vertical="center"/>
    </x:xf>
    <x:xf numFmtId="0" fontId="23" fillId="70" borderId="0" xfId="0" applyNumberFormat="1" applyFont="1" applyFill="1" applyBorder="1" applyAlignment="1">
      <x:alignment vertical="center"/>
    </x:xf>
    <x:xf numFmtId="200" fontId="17" fillId="70" borderId="0" xfId="0" applyNumberFormat="1" applyFont="1" applyFill="1" applyBorder="1" applyAlignment="1">
      <x:alignment vertical="center"/>
    </x:xf>
    <x:xf numFmtId="200" fontId="8" fillId="70" borderId="0" xfId="0" applyNumberFormat="1" applyFont="1" applyFill="1" applyBorder="1" applyAlignment="1">
      <x:alignment vertical="center"/>
    </x:xf>
    <x:xf numFmtId="200" fontId="24" fillId="70" borderId="0" xfId="0" applyNumberFormat="1" applyFont="1" applyFill="1" applyBorder="1" applyAlignment="1">
      <x:alignment vertical="center"/>
    </x:xf>
    <x:xf numFmtId="0" fontId="17" fillId="70" borderId="0" xfId="0" applyNumberFormat="1" applyFont="1" applyFill="1" applyBorder="1" applyAlignment="1">
      <x:alignment vertical="center"/>
    </x:xf>
    <x:xf numFmtId="0" fontId="13" fillId="73" borderId="0" xfId="0" applyNumberFormat="1" applyFont="1" applyFill="1" applyBorder="1" applyAlignment="1">
      <x:alignment vertical="center" wrapText="1"/>
    </x:xf>
    <x:xf numFmtId="205" fontId="13" fillId="73" borderId="0" xfId="0" applyNumberFormat="1" applyFont="1" applyFill="1" applyBorder="1" applyAlignment="1">
      <x:alignment vertical="center" wrapText="1"/>
    </x:xf>
    <x:xf numFmtId="200" fontId="13" fillId="73" borderId="0" xfId="0" applyNumberFormat="1" applyFont="1" applyFill="1" applyBorder="1" applyAlignment="1">
      <x:alignment vertical="center" wrapText="1"/>
    </x:xf>
    <x:xf numFmtId="0" fontId="13" fillId="74" borderId="0" xfId="0" applyNumberFormat="1" applyFont="1" applyFill="1" applyBorder="1" applyAlignment="1">
      <x:alignment vertical="center" wrapText="1"/>
    </x:xf>
    <x:xf numFmtId="205" fontId="13" fillId="74" borderId="0" xfId="0" applyNumberFormat="1" applyFont="1" applyFill="1" applyBorder="1" applyAlignment="1">
      <x:alignment vertical="center" wrapText="1"/>
    </x:xf>
    <x:xf numFmtId="200" fontId="13" fillId="74" borderId="0" xfId="0" applyNumberFormat="1" applyFont="1" applyFill="1" applyBorder="1" applyAlignment="1">
      <x:alignment vertical="center" wrapText="1"/>
    </x:xf>
    <x:xf numFmtId="0" fontId="15" fillId="75" borderId="0" xfId="0" applyNumberFormat="1" applyFont="1" applyFill="1" applyBorder="1" applyAlignment="1">
      <x:alignment vertical="center" wrapText="1"/>
    </x:xf>
    <x:xf numFmtId="0" fontId="8" fillId="69" borderId="0" xfId="0" applyNumberFormat="1" applyFont="1" applyFill="1" applyBorder="1" applyAlignment="1">
      <x:alignment vertical="center" wrapText="1"/>
    </x:xf>
    <x:xf numFmtId="0" fontId="30" fillId="76" borderId="0" xfId="0" applyNumberFormat="1" applyFont="1" applyFill="1" applyBorder="1" applyAlignment="1">
      <x:alignment wrapText="1"/>
    </x:xf>
    <x:xf numFmtId="0" fontId="7" fillId="73" borderId="0" xfId="0" applyNumberFormat="1" applyFont="1" applyFill="1" applyBorder="1"/>
    <x:xf numFmtId="0" fontId="1" fillId="73" borderId="0" xfId="0" applyNumberFormat="1" applyFont="1" applyFill="1" applyBorder="1"/>
    <x:xf numFmtId="0" fontId="1" fillId="70" borderId="0" xfId="0" applyNumberFormat="1" applyFont="1" applyFill="1" applyBorder="1" applyAlignment="1">
      <x:alignment vertical="center" wrapText="1"/>
    </x:xf>
    <x:xf numFmtId="0" fontId="23" fillId="71" borderId="0" xfId="0" applyNumberFormat="1" applyFont="1" applyFill="1" applyBorder="1" applyAlignment="1">
      <x:alignment vertical="center" wrapText="1"/>
    </x:xf>
    <x:xf numFmtId="0" fontId="20" fillId="75" borderId="0" xfId="0" applyNumberFormat="1" applyFont="1" applyFill="1" applyBorder="1" applyAlignment="1">
      <x:alignment horizontal="left" vertical="center"/>
    </x:xf>
    <x:xf numFmtId="0" fontId="4" fillId="69" borderId="0" xfId="0" applyNumberFormat="1" applyFont="1" applyFill="1" applyBorder="1" applyAlignment="1">
      <x:alignment vertical="center"/>
    </x:xf>
    <x:xf numFmtId="0" fontId="8" fillId="71" borderId="0" xfId="0" applyNumberFormat="1" applyFont="1" applyFill="1" applyBorder="1" applyAlignment="1">
      <x:alignment vertical="center"/>
    </x:xf>
    <x:xf numFmtId="0" fontId="21" fillId="69" borderId="0" xfId="0" applyNumberFormat="1" applyFont="1" applyFill="1" applyBorder="1" applyAlignment="1">
      <x:alignment horizontal="center" vertical="center"/>
    </x:xf>
    <x:xf numFmtId="0" fontId="16" fillId="69" borderId="0" xfId="0" applyNumberFormat="1" applyFont="1" applyFill="1" applyBorder="1" applyAlignment="1">
      <x:alignment horizontal="center" vertical="center"/>
    </x:xf>
    <x:xf numFmtId="0" fontId="22" fillId="75" borderId="0" xfId="0" applyNumberFormat="1" applyFont="1" applyFill="1" applyBorder="1" applyAlignment="1">
      <x:alignment vertical="center"/>
    </x:xf>
    <x:xf numFmtId="0" fontId="3" fillId="75" borderId="0" xfId="0" applyNumberFormat="1" applyFont="1" applyFill="1" applyBorder="1" applyAlignment="1">
      <x:alignment vertical="center"/>
    </x:xf>
    <x:xf numFmtId="0" fontId="1" fillId="74" borderId="0" xfId="0" applyNumberFormat="1" applyFont="1" applyFill="1" applyBorder="1" applyAlignment="1">
      <x:alignment vertical="center" wrapText="1"/>
    </x:xf>
    <x:xf numFmtId="0" fontId="13" fillId="74" borderId="0" xfId="0" applyNumberFormat="1" applyFont="1" applyFill="1" applyBorder="1" applyAlignment="1">
      <x:alignment vertical="center"/>
    </x:xf>
    <x:xf numFmtId="0" fontId="29" fillId="75" borderId="0" xfId="0" applyNumberFormat="1" applyFont="1" applyFill="1" applyBorder="1" applyAlignment="1">
      <x:alignment vertical="center" wrapText="1"/>
    </x:xf>
    <x:xf numFmtId="0" fontId="22" fillId="75" borderId="0" xfId="0" applyNumberFormat="1" applyFont="1" applyFill="1" applyBorder="1" applyAlignment="1">
      <x:alignment vertical="center" wrapText="1"/>
    </x:xf>
    <x:xf numFmtId="0" fontId="17" fillId="74" borderId="0" xfId="0" applyNumberFormat="1" applyFont="1" applyFill="1" applyBorder="1" applyAlignment="1">
      <x:alignment vertical="center"/>
    </x:xf>
    <x:xf numFmtId="0" fontId="23" fillId="74" borderId="0" xfId="0" applyNumberFormat="1" applyFont="1" applyFill="1" applyBorder="1" applyAlignment="1">
      <x:alignment vertical="center"/>
    </x:xf>
    <x:xf numFmtId="200" fontId="17" fillId="71" borderId="0" xfId="0" applyNumberFormat="1" applyFont="1" applyFill="1" applyBorder="1" applyAlignment="1">
      <x:alignment vertical="center"/>
    </x:xf>
    <x:xf numFmtId="200" fontId="8" fillId="71" borderId="0" xfId="0" applyNumberFormat="1" applyFont="1" applyFill="1" applyBorder="1" applyAlignment="1">
      <x:alignment vertical="center"/>
    </x:xf>
    <x:xf numFmtId="0" fontId="24" fillId="70" borderId="0" xfId="0" applyNumberFormat="1" applyFont="1" applyFill="1" applyBorder="1" applyAlignment="1">
      <x:alignment vertical="center"/>
    </x:xf>
    <x:xf numFmtId="0" fontId="17" fillId="73" borderId="0" xfId="0" applyNumberFormat="1" applyFont="1" applyFill="1" applyBorder="1" applyAlignment="1">
      <x:alignment vertical="center"/>
    </x:xf>
    <x:xf numFmtId="0" fontId="25" fillId="67" borderId="0" xfId="0" applyNumberFormat="1" applyFont="1" applyFill="1" applyBorder="1" applyAlignment="1">
      <x:alignment vertical="center" wrapText="1"/>
    </x:xf>
    <x:xf numFmtId="0" fontId="26" fillId="67" borderId="0" xfId="0" applyNumberFormat="1" applyFont="1" applyFill="1" applyBorder="1" applyAlignment="1">
      <x:alignment vertical="center" wrapText="1"/>
    </x:xf>
    <x:xf numFmtId="0" fontId="28" fillId="67" borderId="0" xfId="0" applyNumberFormat="1" applyFont="1" applyFill="1" applyBorder="1" applyAlignment="1">
      <x:alignment vertical="center" wrapText="1"/>
    </x:xf>
    <x:xf numFmtId="0" fontId="19" fillId="76" borderId="0" xfId="0" applyNumberFormat="1" applyFont="1" applyFill="1" applyBorder="1" applyAlignment="1">
      <x:alignment vertical="center" wrapText="1"/>
    </x:xf>
    <x:xf numFmtId="0" fontId="2" fillId="75" borderId="0" xfId="0" applyNumberFormat="1" applyFont="1" applyFill="1" applyBorder="1" applyAlignment="1">
      <x:alignment vertical="center" wrapText="1"/>
    </x:xf>
    <x:xf numFmtId="0" fontId="8" fillId="71" borderId="0" xfId="0" applyNumberFormat="1" applyFont="1" applyFill="1" applyBorder="1" applyAlignment="1">
      <x:alignment vertical="center" wrapText="1"/>
    </x:xf>
    <x:xf numFmtId="0" fontId="9" fillId="69" borderId="0" xfId="0" applyNumberFormat="1" applyFont="1" applyFill="1" applyBorder="1"/>
    <x:xf numFmtId="0" fontId="18" fillId="67" borderId="0" xfId="0" applyNumberFormat="1" applyFont="1" applyFill="1" applyBorder="1"/>
    <x:xf numFmtId="0" fontId="0" fillId="67" borderId="0" xfId="0" applyNumberFormat="1" applyFont="1" applyFill="1" applyBorder="1"/>
    <x:xf numFmtId="0" fontId="18" fillId="70" borderId="0" xfId="0" applyNumberFormat="1" applyFont="1" applyFill="1" applyBorder="1"/>
    <x:xf numFmtId="0" fontId="0" fillId="70" borderId="0" xfId="0" applyNumberFormat="1" applyFont="1" applyFill="1" applyBorder="1"/>
    <x:xf numFmtId="0" fontId="18" fillId="68" borderId="0" xfId="0" applyNumberFormat="1" applyFont="1" applyFill="1" applyBorder="1" applyAlignment="1">
      <x:alignment wrapText="1"/>
    </x:xf>
    <x:xf numFmtId="0" fontId="0" fillId="68" borderId="0" xfId="0" applyNumberFormat="1" applyFont="1" applyFill="1" applyBorder="1" applyAlignment="1">
      <x:alignment wrapText="1"/>
    </x:xf>
    <x:xf numFmtId="0" fontId="9" fillId="75" borderId="0" xfId="0" applyNumberFormat="1" applyFont="1" applyFill="1" applyBorder="1"/>
    <x:xf numFmtId="0" fontId="13" fillId="77" borderId="0" xfId="0" applyNumberFormat="1" applyFont="1" applyFill="1" applyBorder="1" applyAlignment="1">
      <x:alignment vertical="center" wrapText="1"/>
    </x:xf>
    <x:xf numFmtId="0" fontId="14" fillId="77" borderId="0" xfId="0" applyNumberFormat="1" applyFont="1" applyFill="1" applyBorder="1" applyAlignment="1">
      <x:alignment vertical="center" wrapText="1"/>
    </x:xf>
    <x:xf numFmtId="0" fontId="13" fillId="78" borderId="0" xfId="0" applyNumberFormat="1" applyFont="1" applyFill="1" applyBorder="1" applyAlignment="1">
      <x:alignment vertical="center" wrapText="1"/>
    </x:xf>
    <x:xf numFmtId="0" fontId="1" fillId="78" borderId="0" xfId="0" applyNumberFormat="1" applyFont="1" applyFill="1" applyBorder="1" applyAlignment="1">
      <x:alignment vertical="center" wrapText="1"/>
    </x:xf>
    <x:xf numFmtId="0" fontId="15" fillId="79" borderId="0" xfId="0" applyNumberFormat="1" applyFont="1" applyFill="1" applyBorder="1" applyAlignment="1">
      <x:alignment vertical="center" wrapText="1"/>
    </x:xf>
    <x:xf numFmtId="0" fontId="13" fillId="80" borderId="0" xfId="0" applyNumberFormat="1" applyFont="1" applyFill="1" applyBorder="1" applyAlignment="1">
      <x:alignment vertical="center" wrapText="1"/>
    </x:xf>
    <x:xf numFmtId="0" fontId="15" fillId="81" borderId="0" xfId="0" applyNumberFormat="1" applyFont="1" applyFill="1" applyBorder="1" applyAlignment="1">
      <x:alignment vertical="center" wrapText="1"/>
    </x:xf>
    <x:xf numFmtId="0" fontId="15" fillId="78" borderId="0" xfId="0" applyNumberFormat="1" applyFont="1" applyFill="1" applyBorder="1" applyAlignment="1">
      <x:alignment vertical="center" wrapText="1"/>
    </x:xf>
    <x:xf numFmtId="0" fontId="23" fillId="78" borderId="0" xfId="0" applyNumberFormat="1" applyFont="1" applyFill="1" applyBorder="1" applyAlignment="1">
      <x:alignment vertical="center" wrapText="1"/>
    </x:xf>
    <x:xf numFmtId="0" fontId="21" fillId="82" borderId="0" xfId="0" applyNumberFormat="1" applyFont="1" applyFill="1" applyBorder="1" applyAlignment="1">
      <x:alignment horizontal="center" vertical="center"/>
    </x:xf>
    <x:xf numFmtId="0" fontId="16" fillId="82" borderId="0" xfId="0" applyNumberFormat="1" applyFont="1" applyFill="1" applyBorder="1" applyAlignment="1">
      <x:alignment horizontal="center" vertical="center"/>
    </x:xf>
    <x:xf numFmtId="0" fontId="23" fillId="80" borderId="0" xfId="0" applyNumberFormat="1" applyFont="1" applyFill="1" applyBorder="1" applyAlignment="1">
      <x:alignment vertical="center"/>
    </x:xf>
    <x:xf numFmtId="200" fontId="17" fillId="80" borderId="0" xfId="0" applyNumberFormat="1" applyFont="1" applyFill="1" applyBorder="1" applyAlignment="1">
      <x:alignment vertical="center"/>
    </x:xf>
    <x:xf numFmtId="200" fontId="8" fillId="80" borderId="0" xfId="0" applyNumberFormat="1" applyFont="1" applyFill="1" applyBorder="1" applyAlignment="1">
      <x:alignment vertical="center"/>
    </x:xf>
    <x:xf numFmtId="200" fontId="24" fillId="80" borderId="0" xfId="0" applyNumberFormat="1" applyFont="1" applyFill="1" applyBorder="1" applyAlignment="1">
      <x:alignment vertical="center"/>
    </x:xf>
    <x:xf numFmtId="0" fontId="17" fillId="80" borderId="0" xfId="0" applyNumberFormat="1" applyFont="1" applyFill="1" applyBorder="1" applyAlignment="1">
      <x:alignment vertical="center"/>
    </x:xf>
    <x:xf numFmtId="0" fontId="13" fillId="83" borderId="0" xfId="0" applyNumberFormat="1" applyFont="1" applyFill="1" applyBorder="1" applyAlignment="1">
      <x:alignment vertical="center" wrapText="1"/>
    </x:xf>
    <x:xf numFmtId="205" fontId="13" fillId="83" borderId="0" xfId="0" applyNumberFormat="1" applyFont="1" applyFill="1" applyBorder="1" applyAlignment="1">
      <x:alignment vertical="center" wrapText="1"/>
    </x:xf>
    <x:xf numFmtId="200" fontId="13" fillId="83" borderId="0" xfId="0" applyNumberFormat="1" applyFont="1" applyFill="1" applyBorder="1" applyAlignment="1">
      <x:alignment vertical="center" wrapText="1"/>
    </x:xf>
    <x:xf numFmtId="0" fontId="13" fillId="84" borderId="0" xfId="0" applyNumberFormat="1" applyFont="1" applyFill="1" applyBorder="1" applyAlignment="1">
      <x:alignment vertical="center" wrapText="1"/>
    </x:xf>
    <x:xf numFmtId="205" fontId="13" fillId="84" borderId="0" xfId="0" applyNumberFormat="1" applyFont="1" applyFill="1" applyBorder="1" applyAlignment="1">
      <x:alignment vertical="center" wrapText="1"/>
    </x:xf>
    <x:xf numFmtId="200" fontId="13" fillId="84" borderId="0" xfId="0" applyNumberFormat="1" applyFont="1" applyFill="1" applyBorder="1" applyAlignment="1">
      <x:alignment vertical="center" wrapText="1"/>
    </x:xf>
    <x:xf numFmtId="0" fontId="15" fillId="85" borderId="0" xfId="0" applyNumberFormat="1" applyFont="1" applyFill="1" applyBorder="1" applyAlignment="1">
      <x:alignment vertical="center" wrapText="1"/>
    </x:xf>
    <x:xf numFmtId="0" fontId="8" fillId="79" borderId="0" xfId="0" applyNumberFormat="1" applyFont="1" applyFill="1" applyBorder="1" applyAlignment="1">
      <x:alignment vertical="center" wrapText="1"/>
    </x:xf>
    <x:xf numFmtId="0" fontId="30" fillId="86" borderId="0" xfId="0" applyNumberFormat="1" applyFont="1" applyFill="1" applyBorder="1" applyAlignment="1">
      <x:alignment wrapText="1"/>
    </x:xf>
    <x:xf numFmtId="0" fontId="7" fillId="83" borderId="0" xfId="0" applyNumberFormat="1" applyFont="1" applyFill="1" applyBorder="1"/>
    <x:xf numFmtId="0" fontId="1" fillId="83" borderId="0" xfId="0" applyNumberFormat="1" applyFont="1" applyFill="1" applyBorder="1"/>
    <x:xf numFmtId="0" fontId="1" fillId="80" borderId="0" xfId="0" applyNumberFormat="1" applyFont="1" applyFill="1" applyBorder="1" applyAlignment="1">
      <x:alignment vertical="center" wrapText="1"/>
    </x:xf>
    <x:xf numFmtId="0" fontId="23" fillId="81" borderId="0" xfId="0" applyNumberFormat="1" applyFont="1" applyFill="1" applyBorder="1" applyAlignment="1">
      <x:alignment vertical="center" wrapText="1"/>
    </x:xf>
    <x:xf numFmtId="0" fontId="20" fillId="85" borderId="0" xfId="0" applyNumberFormat="1" applyFont="1" applyFill="1" applyBorder="1" applyAlignment="1">
      <x:alignment horizontal="left" vertical="center"/>
    </x:xf>
    <x:xf numFmtId="0" fontId="4" fillId="79" borderId="0" xfId="0" applyNumberFormat="1" applyFont="1" applyFill="1" applyBorder="1" applyAlignment="1">
      <x:alignment vertical="center"/>
    </x:xf>
    <x:xf numFmtId="0" fontId="8" fillId="81" borderId="0" xfId="0" applyNumberFormat="1" applyFont="1" applyFill="1" applyBorder="1" applyAlignment="1">
      <x:alignment vertical="center"/>
    </x:xf>
    <x:xf numFmtId="0" fontId="21" fillId="79" borderId="0" xfId="0" applyNumberFormat="1" applyFont="1" applyFill="1" applyBorder="1" applyAlignment="1">
      <x:alignment horizontal="center" vertical="center"/>
    </x:xf>
    <x:xf numFmtId="0" fontId="16" fillId="79" borderId="0" xfId="0" applyNumberFormat="1" applyFont="1" applyFill="1" applyBorder="1" applyAlignment="1">
      <x:alignment horizontal="center" vertical="center"/>
    </x:xf>
    <x:xf numFmtId="0" fontId="22" fillId="85" borderId="0" xfId="0" applyNumberFormat="1" applyFont="1" applyFill="1" applyBorder="1" applyAlignment="1">
      <x:alignment vertical="center"/>
    </x:xf>
    <x:xf numFmtId="0" fontId="3" fillId="85" borderId="0" xfId="0" applyNumberFormat="1" applyFont="1" applyFill="1" applyBorder="1" applyAlignment="1">
      <x:alignment vertical="center"/>
    </x:xf>
    <x:xf numFmtId="0" fontId="1" fillId="84" borderId="0" xfId="0" applyNumberFormat="1" applyFont="1" applyFill="1" applyBorder="1" applyAlignment="1">
      <x:alignment vertical="center" wrapText="1"/>
    </x:xf>
    <x:xf numFmtId="0" fontId="13" fillId="84" borderId="0" xfId="0" applyNumberFormat="1" applyFont="1" applyFill="1" applyBorder="1" applyAlignment="1">
      <x:alignment vertical="center"/>
    </x:xf>
    <x:xf numFmtId="0" fontId="29" fillId="85" borderId="0" xfId="0" applyNumberFormat="1" applyFont="1" applyFill="1" applyBorder="1" applyAlignment="1">
      <x:alignment vertical="center" wrapText="1"/>
    </x:xf>
    <x:xf numFmtId="0" fontId="22" fillId="85" borderId="0" xfId="0" applyNumberFormat="1" applyFont="1" applyFill="1" applyBorder="1" applyAlignment="1">
      <x:alignment vertical="center" wrapText="1"/>
    </x:xf>
    <x:xf numFmtId="0" fontId="17" fillId="84" borderId="0" xfId="0" applyNumberFormat="1" applyFont="1" applyFill="1" applyBorder="1" applyAlignment="1">
      <x:alignment vertical="center"/>
    </x:xf>
    <x:xf numFmtId="0" fontId="23" fillId="84" borderId="0" xfId="0" applyNumberFormat="1" applyFont="1" applyFill="1" applyBorder="1" applyAlignment="1">
      <x:alignment vertical="center"/>
    </x:xf>
    <x:xf numFmtId="200" fontId="17" fillId="81" borderId="0" xfId="0" applyNumberFormat="1" applyFont="1" applyFill="1" applyBorder="1" applyAlignment="1">
      <x:alignment vertical="center"/>
    </x:xf>
    <x:xf numFmtId="200" fontId="8" fillId="81" borderId="0" xfId="0" applyNumberFormat="1" applyFont="1" applyFill="1" applyBorder="1" applyAlignment="1">
      <x:alignment vertical="center"/>
    </x:xf>
    <x:xf numFmtId="0" fontId="24" fillId="80" borderId="0" xfId="0" applyNumberFormat="1" applyFont="1" applyFill="1" applyBorder="1" applyAlignment="1">
      <x:alignment vertical="center"/>
    </x:xf>
    <x:xf numFmtId="0" fontId="17" fillId="83" borderId="0" xfId="0" applyNumberFormat="1" applyFont="1" applyFill="1" applyBorder="1" applyAlignment="1">
      <x:alignment vertical="center"/>
    </x:xf>
    <x:xf numFmtId="0" fontId="25" fillId="77" borderId="0" xfId="0" applyNumberFormat="1" applyFont="1" applyFill="1" applyBorder="1" applyAlignment="1">
      <x:alignment vertical="center" wrapText="1"/>
    </x:xf>
    <x:xf numFmtId="0" fontId="26" fillId="77" borderId="0" xfId="0" applyNumberFormat="1" applyFont="1" applyFill="1" applyBorder="1" applyAlignment="1">
      <x:alignment vertical="center" wrapText="1"/>
    </x:xf>
    <x:xf numFmtId="0" fontId="28" fillId="77" borderId="0" xfId="0" applyNumberFormat="1" applyFont="1" applyFill="1" applyBorder="1" applyAlignment="1">
      <x:alignment vertical="center" wrapText="1"/>
    </x:xf>
    <x:xf numFmtId="0" fontId="19" fillId="86" borderId="0" xfId="0" applyNumberFormat="1" applyFont="1" applyFill="1" applyBorder="1" applyAlignment="1">
      <x:alignment vertical="center" wrapText="1"/>
    </x:xf>
    <x:xf numFmtId="0" fontId="2" fillId="85" borderId="0" xfId="0" applyNumberFormat="1" applyFont="1" applyFill="1" applyBorder="1" applyAlignment="1">
      <x:alignment vertical="center" wrapText="1"/>
    </x:xf>
    <x:xf numFmtId="0" fontId="8" fillId="81" borderId="0" xfId="0" applyNumberFormat="1" applyFont="1" applyFill="1" applyBorder="1" applyAlignment="1">
      <x:alignment vertical="center" wrapText="1"/>
    </x:xf>
    <x:xf numFmtId="0" fontId="9" fillId="79" borderId="0" xfId="0" applyNumberFormat="1" applyFont="1" applyFill="1" applyBorder="1"/>
    <x:xf numFmtId="0" fontId="18" fillId="77" borderId="0" xfId="0" applyNumberFormat="1" applyFont="1" applyFill="1" applyBorder="1"/>
    <x:xf numFmtId="0" fontId="0" fillId="77" borderId="0" xfId="0" applyNumberFormat="1" applyFont="1" applyFill="1" applyBorder="1"/>
    <x:xf numFmtId="0" fontId="18" fillId="80" borderId="0" xfId="0" applyNumberFormat="1" applyFont="1" applyFill="1" applyBorder="1"/>
    <x:xf numFmtId="0" fontId="0" fillId="80" borderId="0" xfId="0" applyNumberFormat="1" applyFont="1" applyFill="1" applyBorder="1"/>
    <x:xf numFmtId="0" fontId="18"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9" fillId="85" borderId="0" xfId="0" applyNumberFormat="1" applyFont="1" applyFill="1" applyBorder="1"/>
    <x:xf numFmtId="0" fontId="13" fillId="87" borderId="0" xfId="0" applyNumberFormat="1" applyFont="1" applyFill="1" applyBorder="1" applyAlignment="1">
      <x:alignment vertical="center" wrapText="1"/>
    </x:xf>
    <x:xf numFmtId="0" fontId="14" fillId="87" borderId="0" xfId="0" applyNumberFormat="1" applyFont="1" applyFill="1" applyBorder="1" applyAlignment="1">
      <x:alignment vertical="center" wrapText="1"/>
    </x:xf>
    <x:xf numFmtId="0" fontId="13" fillId="88" borderId="0" xfId="0" applyNumberFormat="1" applyFont="1" applyFill="1" applyBorder="1" applyAlignment="1">
      <x:alignment vertical="center" wrapText="1"/>
    </x:xf>
    <x:xf numFmtId="0" fontId="1" fillId="88" borderId="0" xfId="0" applyNumberFormat="1" applyFont="1" applyFill="1" applyBorder="1" applyAlignment="1">
      <x:alignment vertical="center" wrapText="1"/>
    </x:xf>
    <x:xf numFmtId="0" fontId="15" fillId="89" borderId="0" xfId="0" applyNumberFormat="1" applyFont="1" applyFill="1" applyBorder="1" applyAlignment="1">
      <x:alignment vertical="center" wrapText="1"/>
    </x:xf>
    <x:xf numFmtId="0" fontId="13" fillId="90" borderId="0" xfId="0" applyNumberFormat="1" applyFont="1" applyFill="1" applyBorder="1" applyAlignment="1">
      <x:alignment vertical="center" wrapText="1"/>
    </x:xf>
    <x:xf numFmtId="0" fontId="15" fillId="91" borderId="0" xfId="0" applyNumberFormat="1" applyFont="1" applyFill="1" applyBorder="1" applyAlignment="1">
      <x:alignment vertical="center" wrapText="1"/>
    </x:xf>
    <x:xf numFmtId="0" fontId="15" fillId="88" borderId="0" xfId="0" applyNumberFormat="1" applyFont="1" applyFill="1" applyBorder="1" applyAlignment="1">
      <x:alignment vertical="center" wrapText="1"/>
    </x:xf>
    <x:xf numFmtId="0" fontId="23" fillId="88" borderId="0" xfId="0" applyNumberFormat="1" applyFont="1" applyFill="1" applyBorder="1" applyAlignment="1">
      <x:alignment vertical="center" wrapText="1"/>
    </x:xf>
    <x:xf numFmtId="0" fontId="21" fillId="92" borderId="0" xfId="0" applyNumberFormat="1" applyFont="1" applyFill="1" applyBorder="1" applyAlignment="1">
      <x:alignment horizontal="center" vertical="center"/>
    </x:xf>
    <x:xf numFmtId="0" fontId="16" fillId="92" borderId="0" xfId="0" applyNumberFormat="1" applyFont="1" applyFill="1" applyBorder="1" applyAlignment="1">
      <x:alignment horizontal="center" vertical="center"/>
    </x:xf>
    <x:xf numFmtId="0" fontId="23" fillId="90" borderId="0" xfId="0" applyNumberFormat="1" applyFont="1" applyFill="1" applyBorder="1" applyAlignment="1">
      <x:alignment vertical="center"/>
    </x:xf>
    <x:xf numFmtId="200" fontId="17" fillId="90" borderId="0" xfId="0" applyNumberFormat="1" applyFont="1" applyFill="1" applyBorder="1" applyAlignment="1">
      <x:alignment vertical="center"/>
    </x:xf>
    <x:xf numFmtId="200" fontId="8" fillId="90" borderId="0" xfId="0" applyNumberFormat="1" applyFont="1" applyFill="1" applyBorder="1" applyAlignment="1">
      <x:alignment vertical="center"/>
    </x:xf>
    <x:xf numFmtId="200" fontId="24" fillId="90" borderId="0" xfId="0" applyNumberFormat="1" applyFont="1" applyFill="1" applyBorder="1" applyAlignment="1">
      <x:alignment vertical="center"/>
    </x:xf>
    <x:xf numFmtId="0" fontId="17" fillId="90" borderId="0" xfId="0" applyNumberFormat="1" applyFont="1" applyFill="1" applyBorder="1" applyAlignment="1">
      <x:alignment vertical="center"/>
    </x:xf>
    <x:xf numFmtId="0" fontId="13" fillId="93" borderId="0" xfId="0" applyNumberFormat="1" applyFont="1" applyFill="1" applyBorder="1" applyAlignment="1">
      <x:alignment vertical="center" wrapText="1"/>
    </x:xf>
    <x:xf numFmtId="205" fontId="13" fillId="93" borderId="0" xfId="0" applyNumberFormat="1" applyFont="1" applyFill="1" applyBorder="1" applyAlignment="1">
      <x:alignment vertical="center" wrapText="1"/>
    </x:xf>
    <x:xf numFmtId="200" fontId="13" fillId="93" borderId="0" xfId="0" applyNumberFormat="1" applyFont="1" applyFill="1" applyBorder="1" applyAlignment="1">
      <x:alignment vertical="center" wrapText="1"/>
    </x:xf>
    <x:xf numFmtId="0" fontId="13" fillId="94" borderId="0" xfId="0" applyNumberFormat="1" applyFont="1" applyFill="1" applyBorder="1" applyAlignment="1">
      <x:alignment vertical="center" wrapText="1"/>
    </x:xf>
    <x:xf numFmtId="205" fontId="13" fillId="94" borderId="0" xfId="0" applyNumberFormat="1" applyFont="1" applyFill="1" applyBorder="1" applyAlignment="1">
      <x:alignment vertical="center" wrapText="1"/>
    </x:xf>
    <x:xf numFmtId="200" fontId="13" fillId="94" borderId="0" xfId="0" applyNumberFormat="1" applyFont="1" applyFill="1" applyBorder="1" applyAlignment="1">
      <x:alignment vertical="center" wrapText="1"/>
    </x:xf>
    <x:xf numFmtId="0" fontId="15" fillId="95" borderId="0" xfId="0" applyNumberFormat="1" applyFont="1" applyFill="1" applyBorder="1" applyAlignment="1">
      <x:alignment vertical="center" wrapText="1"/>
    </x:xf>
    <x:xf numFmtId="0" fontId="8" fillId="89" borderId="0" xfId="0" applyNumberFormat="1" applyFont="1" applyFill="1" applyBorder="1" applyAlignment="1">
      <x:alignment vertical="center" wrapText="1"/>
    </x:xf>
    <x:xf numFmtId="0" fontId="30" fillId="96" borderId="0" xfId="0" applyNumberFormat="1" applyFont="1" applyFill="1" applyBorder="1" applyAlignment="1">
      <x:alignment wrapText="1"/>
    </x:xf>
    <x:xf numFmtId="0" fontId="7" fillId="93" borderId="0" xfId="0" applyNumberFormat="1" applyFont="1" applyFill="1" applyBorder="1"/>
    <x:xf numFmtId="0" fontId="1" fillId="93" borderId="0" xfId="0" applyNumberFormat="1" applyFont="1" applyFill="1" applyBorder="1"/>
    <x:xf numFmtId="0" fontId="1" fillId="90" borderId="0" xfId="0" applyNumberFormat="1" applyFont="1" applyFill="1" applyBorder="1" applyAlignment="1">
      <x:alignment vertical="center" wrapText="1"/>
    </x:xf>
    <x:xf numFmtId="0" fontId="23" fillId="91" borderId="0" xfId="0" applyNumberFormat="1" applyFont="1" applyFill="1" applyBorder="1" applyAlignment="1">
      <x:alignment vertical="center" wrapText="1"/>
    </x:xf>
    <x:xf numFmtId="0" fontId="20" fillId="95" borderId="0" xfId="0" applyNumberFormat="1" applyFont="1" applyFill="1" applyBorder="1" applyAlignment="1">
      <x:alignment horizontal="left" vertical="center"/>
    </x:xf>
    <x:xf numFmtId="0" fontId="4" fillId="89" borderId="0" xfId="0" applyNumberFormat="1" applyFont="1" applyFill="1" applyBorder="1" applyAlignment="1">
      <x:alignment vertical="center"/>
    </x:xf>
    <x:xf numFmtId="0" fontId="8" fillId="91" borderId="0" xfId="0" applyNumberFormat="1" applyFont="1" applyFill="1" applyBorder="1" applyAlignment="1">
      <x:alignment vertical="center"/>
    </x:xf>
    <x:xf numFmtId="0" fontId="21" fillId="89" borderId="0" xfId="0" applyNumberFormat="1" applyFont="1" applyFill="1" applyBorder="1" applyAlignment="1">
      <x:alignment horizontal="center" vertical="center"/>
    </x:xf>
    <x:xf numFmtId="0" fontId="16" fillId="89" borderId="0" xfId="0" applyNumberFormat="1" applyFont="1" applyFill="1" applyBorder="1" applyAlignment="1">
      <x:alignment horizontal="center" vertical="center"/>
    </x:xf>
    <x:xf numFmtId="0" fontId="22" fillId="95" borderId="0" xfId="0" applyNumberFormat="1" applyFont="1" applyFill="1" applyBorder="1" applyAlignment="1">
      <x:alignment vertical="center"/>
    </x:xf>
    <x:xf numFmtId="0" fontId="3" fillId="95" borderId="0" xfId="0" applyNumberFormat="1" applyFont="1" applyFill="1" applyBorder="1" applyAlignment="1">
      <x:alignment vertical="center"/>
    </x:xf>
    <x:xf numFmtId="0" fontId="1" fillId="94" borderId="0" xfId="0" applyNumberFormat="1" applyFont="1" applyFill="1" applyBorder="1" applyAlignment="1">
      <x:alignment vertical="center" wrapText="1"/>
    </x:xf>
    <x:xf numFmtId="0" fontId="13" fillId="94" borderId="0" xfId="0" applyNumberFormat="1" applyFont="1" applyFill="1" applyBorder="1" applyAlignment="1">
      <x:alignment vertical="center"/>
    </x:xf>
    <x:xf numFmtId="0" fontId="29" fillId="95" borderId="0" xfId="0" applyNumberFormat="1" applyFont="1" applyFill="1" applyBorder="1" applyAlignment="1">
      <x:alignment vertical="center" wrapText="1"/>
    </x:xf>
    <x:xf numFmtId="0" fontId="22" fillId="95" borderId="0" xfId="0" applyNumberFormat="1" applyFont="1" applyFill="1" applyBorder="1" applyAlignment="1">
      <x:alignment vertical="center" wrapText="1"/>
    </x:xf>
    <x:xf numFmtId="0" fontId="17" fillId="94" borderId="0" xfId="0" applyNumberFormat="1" applyFont="1" applyFill="1" applyBorder="1" applyAlignment="1">
      <x:alignment vertical="center"/>
    </x:xf>
    <x:xf numFmtId="0" fontId="23" fillId="94" borderId="0" xfId="0" applyNumberFormat="1" applyFont="1" applyFill="1" applyBorder="1" applyAlignment="1">
      <x:alignment vertical="center"/>
    </x:xf>
    <x:xf numFmtId="200" fontId="17" fillId="91" borderId="0" xfId="0" applyNumberFormat="1" applyFont="1" applyFill="1" applyBorder="1" applyAlignment="1">
      <x:alignment vertical="center"/>
    </x:xf>
    <x:xf numFmtId="200" fontId="8" fillId="91" borderId="0" xfId="0" applyNumberFormat="1" applyFont="1" applyFill="1" applyBorder="1" applyAlignment="1">
      <x:alignment vertical="center"/>
    </x:xf>
    <x:xf numFmtId="0" fontId="24" fillId="90" borderId="0" xfId="0" applyNumberFormat="1" applyFont="1" applyFill="1" applyBorder="1" applyAlignment="1">
      <x:alignment vertical="center"/>
    </x:xf>
    <x:xf numFmtId="0" fontId="17" fillId="93" borderId="0" xfId="0" applyNumberFormat="1" applyFont="1" applyFill="1" applyBorder="1" applyAlignment="1">
      <x:alignment vertical="center"/>
    </x:xf>
    <x:xf numFmtId="0" fontId="25" fillId="87" borderId="0" xfId="0" applyNumberFormat="1" applyFont="1" applyFill="1" applyBorder="1" applyAlignment="1">
      <x:alignment vertical="center" wrapText="1"/>
    </x:xf>
    <x:xf numFmtId="0" fontId="26" fillId="87" borderId="0" xfId="0" applyNumberFormat="1" applyFont="1" applyFill="1" applyBorder="1" applyAlignment="1">
      <x:alignment vertical="center" wrapText="1"/>
    </x:xf>
    <x:xf numFmtId="0" fontId="28" fillId="87" borderId="0" xfId="0" applyNumberFormat="1" applyFont="1" applyFill="1" applyBorder="1" applyAlignment="1">
      <x:alignment vertical="center" wrapText="1"/>
    </x:xf>
    <x:xf numFmtId="0" fontId="19" fillId="96" borderId="0" xfId="0" applyNumberFormat="1" applyFont="1" applyFill="1" applyBorder="1" applyAlignment="1">
      <x:alignment vertical="center" wrapText="1"/>
    </x:xf>
    <x:xf numFmtId="0" fontId="2" fillId="95" borderId="0" xfId="0" applyNumberFormat="1" applyFont="1" applyFill="1" applyBorder="1" applyAlignment="1">
      <x:alignment vertical="center" wrapText="1"/>
    </x:xf>
    <x:xf numFmtId="0" fontId="8" fillId="91" borderId="0" xfId="0" applyNumberFormat="1" applyFont="1" applyFill="1" applyBorder="1" applyAlignment="1">
      <x:alignment vertical="center" wrapText="1"/>
    </x:xf>
    <x:xf numFmtId="0" fontId="9" fillId="89" borderId="0" xfId="0" applyNumberFormat="1" applyFont="1" applyFill="1" applyBorder="1"/>
    <x:xf numFmtId="0" fontId="18" fillId="87" borderId="0" xfId="0" applyNumberFormat="1" applyFont="1" applyFill="1" applyBorder="1"/>
    <x:xf numFmtId="0" fontId="0" fillId="87" borderId="0" xfId="0" applyNumberFormat="1" applyFont="1" applyFill="1" applyBorder="1"/>
    <x:xf numFmtId="0" fontId="18" fillId="90" borderId="0" xfId="0" applyNumberFormat="1" applyFont="1" applyFill="1" applyBorder="1"/>
    <x:xf numFmtId="0" fontId="0" fillId="90" borderId="0" xfId="0" applyNumberFormat="1" applyFont="1" applyFill="1" applyBorder="1"/>
    <x:xf numFmtId="0" fontId="18" fillId="88" borderId="0" xfId="0" applyNumberFormat="1" applyFont="1" applyFill="1" applyBorder="1" applyAlignment="1">
      <x:alignment wrapText="1"/>
    </x:xf>
    <x:xf numFmtId="0" fontId="0" fillId="88" borderId="0" xfId="0" applyNumberFormat="1" applyFont="1" applyFill="1" applyBorder="1" applyAlignment="1">
      <x:alignment wrapText="1"/>
    </x:xf>
    <x:xf numFmtId="0" fontId="9" fillId="95" borderId="0" xfId="0" applyNumberFormat="1" applyFont="1" applyFill="1" applyBorder="1"/>
    <x:xf numFmtId="0" fontId="0" fillId="91" borderId="0" xfId="0" applyNumberFormat="1" applyFont="1" applyFill="1" applyBorder="1"/>
    <x:xf numFmtId="0" fontId="31" fillId="91" borderId="0" xfId="0" applyNumberFormat="1" applyFont="1" applyFill="1" applyBorder="1" applyAlignment="1">
      <x:alignment vertical="center" wrapText="1"/>
    </x:xf>
    <x:xf numFmtId="0" fontId="31" fillId="91" borderId="0" xfId="0" applyNumberFormat="1" applyFont="1" applyFill="1" applyBorder="1"/>
    <x:xf numFmtId="0" fontId="31" fillId="91" borderId="0" xfId="0" applyNumberFormat="1" applyFont="1" applyFill="1" applyBorder="1" applyAlignment="1">
      <x:alignment wrapText="1"/>
    </x:xf>
    <x:xf numFmtId="0" fontId="13" fillId="90" borderId="0" xfId="0" applyNumberFormat="1" applyFont="1" applyFill="1" applyBorder="1"/>
    <x:xf numFmtId="206" fontId="13" fillId="90" borderId="0" xfId="0" applyNumberFormat="1" applyFont="1" applyFill="1" applyBorder="1"/>
    <x:xf numFmtId="0" fontId="0" fillId="95" borderId="0" xfId="0" applyNumberFormat="1" applyFont="1" applyFill="1" applyBorder="1"/>
    <x:xf numFmtId="0" fontId="15" fillId="95" borderId="0" xfId="0" applyNumberFormat="1" applyFont="1" applyFill="1" applyBorder="1"/>
    <x:xf numFmtId="0" fontId="15" fillId="95" borderId="0" xfId="0" applyNumberFormat="1" applyFont="1" applyFill="1" applyBorder="1" applyAlignment="1">
      <x:alignment wrapText="1"/>
    </x:xf>
    <x:xf numFmtId="203" fontId="9" fillId="95" borderId="0" xfId="0" applyNumberFormat="1" applyFont="1" applyFill="1" applyBorder="1"/>
    <x:xf numFmtId="0" fontId="0" fillId="88" borderId="0" xfId="0" applyNumberFormat="1" applyFont="1" applyFill="1" applyBorder="1"/>
    <x:xf numFmtId="0" fontId="13" fillId="88" borderId="0" xfId="0" applyNumberFormat="1" applyFont="1" applyFill="1" applyBorder="1" applyAlignment="1">
      <x:alignment wrapText="1"/>
    </x:xf>
    <x:xf numFmtId="0" fontId="13" fillId="88" borderId="0" xfId="0" applyNumberFormat="1" applyFont="1" applyFill="1" applyBorder="1"/>
    <x:xf numFmtId="0" fontId="7" fillId="87" borderId="0" xfId="0" applyNumberFormat="1" applyFont="1" applyFill="1" applyBorder="1"/>
    <x:xf numFmtId="204" fontId="7" fillId="87" borderId="0" xfId="0" applyNumberFormat="1" applyFont="1" applyFill="1" applyBorder="1"/>
    <x:xf numFmtId="0" fontId="9" fillId="87" borderId="0" xfId="0" applyNumberFormat="1" applyFont="1" applyFill="1" applyBorder="1"/>
    <x:xf numFmtId="203" fontId="5" fillId="90" borderId="0" xfId="0" applyNumberFormat="1" applyFont="1" applyFill="1" applyBorder="1"/>
    <x:xf numFmtId="203" fontId="0" fillId="90" borderId="0" xfId="0" applyNumberFormat="1" applyFont="1" applyFill="1" applyBorder="1"/>
    <x:xf numFmtId="203" fontId="9" fillId="90" borderId="0" xfId="0" applyNumberFormat="1" applyFont="1" applyFill="1" applyBorder="1"/>
    <x:xf numFmtId="203" fontId="13" fillId="90" borderId="0" xfId="0" applyNumberFormat="1" applyFont="1" applyFill="1" applyBorder="1" applyAlignment="1">
      <x:alignment vertical="center" wrapText="1"/>
    </x:xf>
    <x:xf numFmtId="204" fontId="0" fillId="87" borderId="0" xfId="0" applyNumberFormat="1" applyFont="1" applyFill="1" applyBorder="1"/>
    <x:xf numFmtId="204" fontId="9" fillId="87" borderId="0" xfId="0" applyNumberFormat="1" applyFont="1" applyFill="1" applyBorder="1"/>
    <x:xf numFmtId="204" fontId="13" fillId="87" borderId="0" xfId="0" applyNumberFormat="1" applyFont="1" applyFill="1" applyBorder="1" applyAlignment="1">
      <x:alignment vertical="center" wrapText="1"/>
    </x:xf>
    <x:xf numFmtId="204" fontId="7" fillId="6" borderId="0" xfId="0" applyNumberFormat="1" applyFont="1" applyFill="1" applyBorder="1" applyAlignment="1">
      <x:alignment wrapText="1"/>
    </x:xf>
    <x:xf numFmtId="0" fontId="1" fillId="91" borderId="0" xfId="0" applyNumberFormat="1" applyFont="1" applyFill="1" applyBorder="1" applyAlignment="1">
      <x:alignment wrapText="1"/>
    </x:xf>
    <x:xf numFmtId="0" fontId="15" fillId="91" borderId="0" xfId="0" applyNumberFormat="1" applyFont="1" applyFill="1" applyBorder="1" applyAlignment="1">
      <x:alignment wrapText="1"/>
    </x:xf>
    <x:xf numFmtId="0" fontId="15" fillId="91" borderId="0" xfId="0" applyNumberFormat="1" applyFont="1" applyFill="1" applyBorder="1"/>
    <x:xf numFmtId="0" fontId="0" fillId="94" borderId="0" xfId="0" applyNumberFormat="1" applyFont="1" applyFill="1" applyBorder="1"/>
    <x:xf numFmtId="0" fontId="27" fillId="94" borderId="0" xfId="0" applyNumberFormat="1" applyFont="1" applyFill="1" applyBorder="1"/>
    <x:xf numFmtId="0" fontId="27" fillId="94" borderId="0" xfId="0" applyNumberFormat="1" applyFont="1" applyFill="1" applyBorder="1" applyAlignment="1">
      <x:alignment wrapText="1"/>
    </x:xf>
    <x:xf numFmtId="0" fontId="27" fillId="94" borderId="0" xfId="0" applyNumberFormat="1" applyFont="1" applyFill="1" applyBorder="1" applyAlignment="1">
      <x:alignment vertical="center" wrapText="1"/>
    </x:xf>
    <x:xf numFmtId="0" fontId="13" fillId="91" borderId="0" xfId="0" applyNumberFormat="1" applyFont="1" applyFill="1" applyBorder="1" applyAlignment="1">
      <x:alignment vertical="center" wrapText="1"/>
    </x:xf>
    <x:xf numFmtId="0" fontId="13" fillId="90" borderId="0" xfId="0" applyNumberFormat="1" applyFont="1" applyFill="1" applyBorder="1" applyAlignment="1">
      <x:alignment wrapText="1"/>
    </x:xf>
    <x:xf numFmtId="0" fontId="19" fillId="90" borderId="0" xfId="0" applyNumberFormat="1" applyFont="1" applyFill="1" applyBorder="1" applyAlignment="1">
      <x:alignment vertical="center" wrapText="1"/>
    </x:xf>
    <x:xf numFmtId="0" fontId="23" fillId="90" borderId="0" xfId="0" applyNumberFormat="1" applyFont="1" applyFill="1" applyBorder="1" applyAlignment="1">
      <x:alignment vertical="center" wrapText="1"/>
    </x:xf>
    <x:xf numFmtId="0" fontId="13" fillId="97" borderId="0" xfId="0" applyNumberFormat="1" applyFont="1" applyFill="1" applyBorder="1" applyAlignment="1">
      <x:alignment vertical="center" wrapText="1"/>
    </x:xf>
    <x:xf numFmtId="0" fontId="14" fillId="97" borderId="0" xfId="0" applyNumberFormat="1" applyFont="1" applyFill="1" applyBorder="1" applyAlignment="1">
      <x:alignment vertical="center" wrapText="1"/>
    </x:xf>
    <x:xf numFmtId="0" fontId="13" fillId="98" borderId="0" xfId="0" applyNumberFormat="1" applyFont="1" applyFill="1" applyBorder="1" applyAlignment="1">
      <x:alignment vertical="center" wrapText="1"/>
    </x:xf>
    <x:xf numFmtId="0" fontId="1" fillId="98" borderId="0" xfId="0" applyNumberFormat="1" applyFont="1" applyFill="1" applyBorder="1" applyAlignment="1">
      <x:alignment vertical="center" wrapText="1"/>
    </x:xf>
    <x:xf numFmtId="0" fontId="15" fillId="99" borderId="0" xfId="0" applyNumberFormat="1" applyFont="1" applyFill="1" applyBorder="1" applyAlignment="1">
      <x:alignment vertical="center" wrapText="1"/>
    </x:xf>
    <x:xf numFmtId="0" fontId="13" fillId="100" borderId="0" xfId="0" applyNumberFormat="1" applyFont="1" applyFill="1" applyBorder="1" applyAlignment="1">
      <x:alignment vertical="center" wrapText="1"/>
    </x:xf>
    <x:xf numFmtId="0" fontId="15" fillId="101" borderId="0" xfId="0" applyNumberFormat="1" applyFont="1" applyFill="1" applyBorder="1" applyAlignment="1">
      <x:alignment vertical="center" wrapText="1"/>
    </x:xf>
    <x:xf numFmtId="0" fontId="15" fillId="98" borderId="0" xfId="0" applyNumberFormat="1" applyFont="1" applyFill="1" applyBorder="1" applyAlignment="1">
      <x:alignment vertical="center" wrapText="1"/>
    </x:xf>
    <x:xf numFmtId="0" fontId="23" fillId="98" borderId="0" xfId="0" applyNumberFormat="1" applyFont="1" applyFill="1" applyBorder="1" applyAlignment="1">
      <x:alignment vertical="center" wrapText="1"/>
    </x:xf>
    <x:xf numFmtId="0" fontId="21" fillId="102" borderId="0" xfId="0" applyNumberFormat="1" applyFont="1" applyFill="1" applyBorder="1" applyAlignment="1">
      <x:alignment horizontal="center" vertical="center"/>
    </x:xf>
    <x:xf numFmtId="0" fontId="16" fillId="102" borderId="0" xfId="0" applyNumberFormat="1" applyFont="1" applyFill="1" applyBorder="1" applyAlignment="1">
      <x:alignment horizontal="center" vertical="center"/>
    </x:xf>
    <x:xf numFmtId="0" fontId="23" fillId="100" borderId="0" xfId="0" applyNumberFormat="1" applyFont="1" applyFill="1" applyBorder="1" applyAlignment="1">
      <x:alignment vertical="center"/>
    </x:xf>
    <x:xf numFmtId="200" fontId="17" fillId="100" borderId="0" xfId="0" applyNumberFormat="1" applyFont="1" applyFill="1" applyBorder="1" applyAlignment="1">
      <x:alignment vertical="center"/>
    </x:xf>
    <x:xf numFmtId="200" fontId="8" fillId="100" borderId="0" xfId="0" applyNumberFormat="1" applyFont="1" applyFill="1" applyBorder="1" applyAlignment="1">
      <x:alignment vertical="center"/>
    </x:xf>
    <x:xf numFmtId="200" fontId="24" fillId="100" borderId="0" xfId="0" applyNumberFormat="1" applyFont="1" applyFill="1" applyBorder="1" applyAlignment="1">
      <x:alignment vertical="center"/>
    </x:xf>
    <x:xf numFmtId="0" fontId="17" fillId="100" borderId="0" xfId="0" applyNumberFormat="1" applyFont="1" applyFill="1" applyBorder="1" applyAlignment="1">
      <x:alignment vertical="center"/>
    </x:xf>
    <x:xf numFmtId="0" fontId="13" fillId="103" borderId="0" xfId="0" applyNumberFormat="1" applyFont="1" applyFill="1" applyBorder="1" applyAlignment="1">
      <x:alignment vertical="center" wrapText="1"/>
    </x:xf>
    <x:xf numFmtId="205" fontId="13" fillId="103" borderId="0" xfId="0" applyNumberFormat="1" applyFont="1" applyFill="1" applyBorder="1" applyAlignment="1">
      <x:alignment vertical="center" wrapText="1"/>
    </x:xf>
    <x:xf numFmtId="200" fontId="13" fillId="103" borderId="0" xfId="0" applyNumberFormat="1" applyFont="1" applyFill="1" applyBorder="1" applyAlignment="1">
      <x:alignment vertical="center" wrapText="1"/>
    </x:xf>
    <x:xf numFmtId="0" fontId="13" fillId="104" borderId="0" xfId="0" applyNumberFormat="1" applyFont="1" applyFill="1" applyBorder="1" applyAlignment="1">
      <x:alignment vertical="center" wrapText="1"/>
    </x:xf>
    <x:xf numFmtId="205" fontId="13" fillId="104" borderId="0" xfId="0" applyNumberFormat="1" applyFont="1" applyFill="1" applyBorder="1" applyAlignment="1">
      <x:alignment vertical="center" wrapText="1"/>
    </x:xf>
    <x:xf numFmtId="200" fontId="13" fillId="104" borderId="0" xfId="0" applyNumberFormat="1" applyFont="1" applyFill="1" applyBorder="1" applyAlignment="1">
      <x:alignment vertical="center" wrapText="1"/>
    </x:xf>
    <x:xf numFmtId="0" fontId="15" fillId="105" borderId="0" xfId="0" applyNumberFormat="1" applyFont="1" applyFill="1" applyBorder="1" applyAlignment="1">
      <x:alignment vertical="center" wrapText="1"/>
    </x:xf>
    <x:xf numFmtId="0" fontId="8" fillId="99" borderId="0" xfId="0" applyNumberFormat="1" applyFont="1" applyFill="1" applyBorder="1" applyAlignment="1">
      <x:alignment vertical="center" wrapText="1"/>
    </x:xf>
    <x:xf numFmtId="0" fontId="30" fillId="106" borderId="0" xfId="0" applyNumberFormat="1" applyFont="1" applyFill="1" applyBorder="1" applyAlignment="1">
      <x:alignment wrapText="1"/>
    </x:xf>
    <x:xf numFmtId="0" fontId="7" fillId="103" borderId="0" xfId="0" applyNumberFormat="1" applyFont="1" applyFill="1" applyBorder="1"/>
    <x:xf numFmtId="0" fontId="1" fillId="103" borderId="0" xfId="0" applyNumberFormat="1" applyFont="1" applyFill="1" applyBorder="1"/>
    <x:xf numFmtId="0" fontId="1" fillId="100" borderId="0" xfId="0" applyNumberFormat="1" applyFont="1" applyFill="1" applyBorder="1" applyAlignment="1">
      <x:alignment vertical="center" wrapText="1"/>
    </x:xf>
    <x:xf numFmtId="0" fontId="23" fillId="101" borderId="0" xfId="0" applyNumberFormat="1" applyFont="1" applyFill="1" applyBorder="1" applyAlignment="1">
      <x:alignment vertical="center" wrapText="1"/>
    </x:xf>
    <x:xf numFmtId="0" fontId="20" fillId="105" borderId="0" xfId="0" applyNumberFormat="1" applyFont="1" applyFill="1" applyBorder="1" applyAlignment="1">
      <x:alignment horizontal="left" vertical="center"/>
    </x:xf>
    <x:xf numFmtId="0" fontId="4" fillId="99" borderId="0" xfId="0" applyNumberFormat="1" applyFont="1" applyFill="1" applyBorder="1" applyAlignment="1">
      <x:alignment vertical="center"/>
    </x:xf>
    <x:xf numFmtId="0" fontId="8" fillId="101" borderId="0" xfId="0" applyNumberFormat="1" applyFont="1" applyFill="1" applyBorder="1" applyAlignment="1">
      <x:alignment vertical="center"/>
    </x:xf>
    <x:xf numFmtId="0" fontId="21" fillId="99" borderId="0" xfId="0" applyNumberFormat="1" applyFont="1" applyFill="1" applyBorder="1" applyAlignment="1">
      <x:alignment horizontal="center" vertical="center"/>
    </x:xf>
    <x:xf numFmtId="0" fontId="16" fillId="99" borderId="0" xfId="0" applyNumberFormat="1" applyFont="1" applyFill="1" applyBorder="1" applyAlignment="1">
      <x:alignment horizontal="center" vertical="center"/>
    </x:xf>
    <x:xf numFmtId="0" fontId="22" fillId="105" borderId="0" xfId="0" applyNumberFormat="1" applyFont="1" applyFill="1" applyBorder="1" applyAlignment="1">
      <x:alignment vertical="center"/>
    </x:xf>
    <x:xf numFmtId="0" fontId="3" fillId="105" borderId="0" xfId="0" applyNumberFormat="1" applyFont="1" applyFill="1" applyBorder="1" applyAlignment="1">
      <x:alignment vertical="center"/>
    </x:xf>
    <x:xf numFmtId="0" fontId="1" fillId="104" borderId="0" xfId="0" applyNumberFormat="1" applyFont="1" applyFill="1" applyBorder="1" applyAlignment="1">
      <x:alignment vertical="center" wrapText="1"/>
    </x:xf>
    <x:xf numFmtId="0" fontId="13" fillId="104" borderId="0" xfId="0" applyNumberFormat="1" applyFont="1" applyFill="1" applyBorder="1" applyAlignment="1">
      <x:alignment vertical="center"/>
    </x:xf>
    <x:xf numFmtId="0" fontId="29" fillId="105" borderId="0" xfId="0" applyNumberFormat="1" applyFont="1" applyFill="1" applyBorder="1" applyAlignment="1">
      <x:alignment vertical="center" wrapText="1"/>
    </x:xf>
    <x:xf numFmtId="0" fontId="22" fillId="105" borderId="0" xfId="0" applyNumberFormat="1" applyFont="1" applyFill="1" applyBorder="1" applyAlignment="1">
      <x:alignment vertical="center" wrapText="1"/>
    </x:xf>
    <x:xf numFmtId="0" fontId="17" fillId="104" borderId="0" xfId="0" applyNumberFormat="1" applyFont="1" applyFill="1" applyBorder="1" applyAlignment="1">
      <x:alignment vertical="center"/>
    </x:xf>
    <x:xf numFmtId="0" fontId="23" fillId="104" borderId="0" xfId="0" applyNumberFormat="1" applyFont="1" applyFill="1" applyBorder="1" applyAlignment="1">
      <x:alignment vertical="center"/>
    </x:xf>
    <x:xf numFmtId="200" fontId="17" fillId="101" borderId="0" xfId="0" applyNumberFormat="1" applyFont="1" applyFill="1" applyBorder="1" applyAlignment="1">
      <x:alignment vertical="center"/>
    </x:xf>
    <x:xf numFmtId="200" fontId="8" fillId="101" borderId="0" xfId="0" applyNumberFormat="1" applyFont="1" applyFill="1" applyBorder="1" applyAlignment="1">
      <x:alignment vertical="center"/>
    </x:xf>
    <x:xf numFmtId="0" fontId="24" fillId="100" borderId="0" xfId="0" applyNumberFormat="1" applyFont="1" applyFill="1" applyBorder="1" applyAlignment="1">
      <x:alignment vertical="center"/>
    </x:xf>
    <x:xf numFmtId="0" fontId="17" fillId="103" borderId="0" xfId="0" applyNumberFormat="1" applyFont="1" applyFill="1" applyBorder="1" applyAlignment="1">
      <x:alignment vertical="center"/>
    </x:xf>
    <x:xf numFmtId="0" fontId="25" fillId="97" borderId="0" xfId="0" applyNumberFormat="1" applyFont="1" applyFill="1" applyBorder="1" applyAlignment="1">
      <x:alignment vertical="center" wrapText="1"/>
    </x:xf>
    <x:xf numFmtId="0" fontId="26" fillId="97" borderId="0" xfId="0" applyNumberFormat="1" applyFont="1" applyFill="1" applyBorder="1" applyAlignment="1">
      <x:alignment vertical="center" wrapText="1"/>
    </x:xf>
    <x:xf numFmtId="0" fontId="28" fillId="97" borderId="0" xfId="0" applyNumberFormat="1" applyFont="1" applyFill="1" applyBorder="1" applyAlignment="1">
      <x:alignment vertical="center" wrapText="1"/>
    </x:xf>
    <x:xf numFmtId="0" fontId="19" fillId="106" borderId="0" xfId="0" applyNumberFormat="1" applyFont="1" applyFill="1" applyBorder="1" applyAlignment="1">
      <x:alignment vertical="center" wrapText="1"/>
    </x:xf>
    <x:xf numFmtId="0" fontId="2" fillId="105" borderId="0" xfId="0" applyNumberFormat="1" applyFont="1" applyFill="1" applyBorder="1" applyAlignment="1">
      <x:alignment vertical="center" wrapText="1"/>
    </x:xf>
    <x:xf numFmtId="0" fontId="8" fillId="101" borderId="0" xfId="0" applyNumberFormat="1" applyFont="1" applyFill="1" applyBorder="1" applyAlignment="1">
      <x:alignment vertical="center" wrapText="1"/>
    </x:xf>
    <x:xf numFmtId="0" fontId="9" fillId="99" borderId="0" xfId="0" applyNumberFormat="1" applyFont="1" applyFill="1" applyBorder="1"/>
    <x:xf numFmtId="0" fontId="18" fillId="97" borderId="0" xfId="0" applyNumberFormat="1" applyFont="1" applyFill="1" applyBorder="1"/>
    <x:xf numFmtId="0" fontId="0" fillId="97" borderId="0" xfId="0" applyNumberFormat="1" applyFont="1" applyFill="1" applyBorder="1"/>
    <x:xf numFmtId="0" fontId="18" fillId="100" borderId="0" xfId="0" applyNumberFormat="1" applyFont="1" applyFill="1" applyBorder="1"/>
    <x:xf numFmtId="0" fontId="0" fillId="100" borderId="0" xfId="0" applyNumberFormat="1" applyFont="1" applyFill="1" applyBorder="1"/>
    <x:xf numFmtId="0" fontId="18" fillId="98" borderId="0" xfId="0" applyNumberFormat="1" applyFont="1" applyFill="1" applyBorder="1" applyAlignment="1">
      <x:alignment wrapText="1"/>
    </x:xf>
    <x:xf numFmtId="0" fontId="0" fillId="98" borderId="0" xfId="0" applyNumberFormat="1" applyFont="1" applyFill="1" applyBorder="1" applyAlignment="1">
      <x:alignment wrapText="1"/>
    </x:xf>
    <x:xf numFmtId="0" fontId="9" fillId="105" borderId="0" xfId="0" applyNumberFormat="1" applyFont="1" applyFill="1" applyBorder="1"/>
    <x:xf numFmtId="0" fontId="23" fillId="106" borderId="0" xfId="0" applyNumberFormat="1" applyFont="1" applyFill="1" applyBorder="1" applyAlignment="1">
      <x:alignment vertical="center" wrapText="1"/>
    </x:xf>
    <x:xf numFmtId="0" fontId="31" fillId="101" borderId="0" xfId="0" applyNumberFormat="1" applyFont="1" applyFill="1" applyBorder="1" applyAlignment="1">
      <x:alignment vertical="center" wrapText="1"/>
    </x:xf>
    <x:xf numFmtId="206" fontId="13" fillId="100" borderId="0" xfId="0" applyNumberFormat="1" applyFont="1" applyFill="1" applyBorder="1"/>
    <x:xf numFmtId="204" fontId="9" fillId="105" borderId="0" xfId="0" applyNumberFormat="1" applyFont="1" applyFill="1" applyBorder="1"/>
    <x:xf numFmtId="203" fontId="9" fillId="105" borderId="0" xfId="0" applyNumberFormat="1" applyFont="1" applyFill="1" applyBorder="1"/>
    <x:xf numFmtId="204" fontId="13" fillId="98" borderId="0" xfId="0" applyNumberFormat="1" applyFont="1" applyFill="1" applyBorder="1" applyAlignment="1">
      <x:alignment vertical="center" wrapText="1"/>
    </x:xf>
    <x:xf numFmtId="203" fontId="13" fillId="98" borderId="0" xfId="0" applyNumberFormat="1" applyFont="1" applyFill="1" applyBorder="1" applyAlignment="1">
      <x:alignment vertical="center" wrapText="1"/>
    </x:xf>
    <x:xf numFmtId="0" fontId="7" fillId="97" borderId="0" xfId="0" applyNumberFormat="1" applyFont="1" applyFill="1" applyBorder="1"/>
    <x:xf numFmtId="204" fontId="7" fillId="97" borderId="0" xfId="0" applyNumberFormat="1" applyFont="1" applyFill="1" applyBorder="1"/>
    <x:xf numFmtId="204" fontId="0" fillId="97" borderId="0" xfId="0" applyNumberFormat="1" applyFont="1" applyFill="1" applyBorder="1"/>
    <x:xf numFmtId="0" fontId="9" fillId="97" borderId="0" xfId="0" applyNumberFormat="1" applyFont="1" applyFill="1" applyBorder="1"/>
    <x:xf numFmtId="204" fontId="9" fillId="97" borderId="0" xfId="0" applyNumberFormat="1" applyFont="1" applyFill="1" applyBorder="1"/>
    <x:xf numFmtId="204" fontId="13" fillId="97" borderId="0" xfId="0" applyNumberFormat="1" applyFont="1" applyFill="1" applyBorder="1" applyAlignment="1">
      <x:alignment vertical="center" wrapText="1"/>
    </x:xf>
    <x:xf numFmtId="203" fontId="5" fillId="100" borderId="0" xfId="0" applyNumberFormat="1" applyFont="1" applyFill="1" applyBorder="1"/>
    <x:xf numFmtId="203" fontId="0" fillId="100" borderId="0" xfId="0" applyNumberFormat="1" applyFont="1" applyFill="1" applyBorder="1"/>
    <x:xf numFmtId="203" fontId="9" fillId="100" borderId="0" xfId="0" applyNumberFormat="1" applyFont="1" applyFill="1" applyBorder="1"/>
    <x:xf numFmtId="203" fontId="13" fillId="100" borderId="0" xfId="0" applyNumberFormat="1" applyFont="1" applyFill="1" applyBorder="1" applyAlignment="1">
      <x:alignment vertical="center" wrapText="1"/>
    </x:xf>
    <x:xf numFmtId="0" fontId="27" fillId="104" borderId="0" xfId="0" applyNumberFormat="1" applyFont="1" applyFill="1" applyBorder="1" applyAlignment="1">
      <x:alignment vertical="center" wrapText="1"/>
    </x:xf>
    <x:xf numFmtId="0" fontId="19" fillId="100" borderId="0" xfId="0" applyNumberFormat="1" applyFont="1" applyFill="1" applyBorder="1" applyAlignment="1">
      <x:alignment vertical="center" wrapText="1"/>
    </x:xf>
    <x:xf numFmtId="0" fontId="23" fillId="100" borderId="0" xfId="0" applyNumberFormat="1" applyFont="1" applyFill="1" applyBorder="1" applyAlignment="1">
      <x:alignment vertical="center" wrapText="1"/>
    </x:xf>
    <x:xf numFmtId="0" fontId="13" fillId="107" borderId="0" xfId="0" applyNumberFormat="1" applyFont="1" applyFill="1" applyBorder="1" applyAlignment="1">
      <x:alignment vertical="center" wrapText="1"/>
    </x:xf>
    <x:xf numFmtId="0" fontId="14" fillId="107" borderId="0" xfId="0" applyNumberFormat="1" applyFont="1" applyFill="1" applyBorder="1" applyAlignment="1">
      <x:alignment vertical="center" wrapText="1"/>
    </x:xf>
    <x:xf numFmtId="0" fontId="13" fillId="108" borderId="0" xfId="0" applyNumberFormat="1" applyFont="1" applyFill="1" applyBorder="1" applyAlignment="1">
      <x:alignment vertical="center" wrapText="1"/>
    </x:xf>
    <x:xf numFmtId="0" fontId="1" fillId="108" borderId="0" xfId="0" applyNumberFormat="1" applyFont="1" applyFill="1" applyBorder="1" applyAlignment="1">
      <x:alignment vertical="center" wrapText="1"/>
    </x:xf>
    <x:xf numFmtId="0" fontId="15" fillId="109" borderId="0" xfId="0" applyNumberFormat="1" applyFont="1" applyFill="1" applyBorder="1" applyAlignment="1">
      <x:alignment vertical="center" wrapText="1"/>
    </x:xf>
    <x:xf numFmtId="0" fontId="13" fillId="110" borderId="0" xfId="0" applyNumberFormat="1" applyFont="1" applyFill="1" applyBorder="1" applyAlignment="1">
      <x:alignment vertical="center" wrapText="1"/>
    </x:xf>
    <x:xf numFmtId="0" fontId="15" fillId="111" borderId="0" xfId="0" applyNumberFormat="1" applyFont="1" applyFill="1" applyBorder="1" applyAlignment="1">
      <x:alignment vertical="center" wrapText="1"/>
    </x:xf>
    <x:xf numFmtId="0" fontId="15" fillId="108" borderId="0" xfId="0" applyNumberFormat="1" applyFont="1" applyFill="1" applyBorder="1" applyAlignment="1">
      <x:alignment vertical="center" wrapText="1"/>
    </x:xf>
    <x:xf numFmtId="0" fontId="23" fillId="108" borderId="0" xfId="0" applyNumberFormat="1" applyFont="1" applyFill="1" applyBorder="1" applyAlignment="1">
      <x:alignment vertical="center" wrapText="1"/>
    </x:xf>
    <x:xf numFmtId="0" fontId="21" fillId="112" borderId="0" xfId="0" applyNumberFormat="1" applyFont="1" applyFill="1" applyBorder="1" applyAlignment="1">
      <x:alignment horizontal="center" vertical="center"/>
    </x:xf>
    <x:xf numFmtId="0" fontId="16" fillId="112" borderId="0" xfId="0" applyNumberFormat="1" applyFont="1" applyFill="1" applyBorder="1" applyAlignment="1">
      <x:alignment horizontal="center" vertical="center"/>
    </x:xf>
    <x:xf numFmtId="0" fontId="23" fillId="110" borderId="0" xfId="0" applyNumberFormat="1" applyFont="1" applyFill="1" applyBorder="1" applyAlignment="1">
      <x:alignment vertical="center"/>
    </x:xf>
    <x:xf numFmtId="200" fontId="17" fillId="110" borderId="0" xfId="0" applyNumberFormat="1" applyFont="1" applyFill="1" applyBorder="1" applyAlignment="1">
      <x:alignment vertical="center"/>
    </x:xf>
    <x:xf numFmtId="200" fontId="8" fillId="110" borderId="0" xfId="0" applyNumberFormat="1" applyFont="1" applyFill="1" applyBorder="1" applyAlignment="1">
      <x:alignment vertical="center"/>
    </x:xf>
    <x:xf numFmtId="200" fontId="24" fillId="110" borderId="0" xfId="0" applyNumberFormat="1" applyFont="1" applyFill="1" applyBorder="1" applyAlignment="1">
      <x:alignment vertical="center"/>
    </x:xf>
    <x:xf numFmtId="0" fontId="17" fillId="110" borderId="0" xfId="0" applyNumberFormat="1" applyFont="1" applyFill="1" applyBorder="1" applyAlignment="1">
      <x:alignment vertical="center"/>
    </x:xf>
    <x:xf numFmtId="0" fontId="13" fillId="113" borderId="0" xfId="0" applyNumberFormat="1" applyFont="1" applyFill="1" applyBorder="1" applyAlignment="1">
      <x:alignment vertical="center" wrapText="1"/>
    </x:xf>
    <x:xf numFmtId="205" fontId="13" fillId="113" borderId="0" xfId="0" applyNumberFormat="1" applyFont="1" applyFill="1" applyBorder="1" applyAlignment="1">
      <x:alignment vertical="center" wrapText="1"/>
    </x:xf>
    <x:xf numFmtId="200" fontId="13" fillId="113" borderId="0" xfId="0" applyNumberFormat="1" applyFont="1" applyFill="1" applyBorder="1" applyAlignment="1">
      <x:alignment vertical="center" wrapText="1"/>
    </x:xf>
    <x:xf numFmtId="0" fontId="13" fillId="114" borderId="0" xfId="0" applyNumberFormat="1" applyFont="1" applyFill="1" applyBorder="1" applyAlignment="1">
      <x:alignment vertical="center" wrapText="1"/>
    </x:xf>
    <x:xf numFmtId="205" fontId="13" fillId="114" borderId="0" xfId="0" applyNumberFormat="1" applyFont="1" applyFill="1" applyBorder="1" applyAlignment="1">
      <x:alignment vertical="center" wrapText="1"/>
    </x:xf>
    <x:xf numFmtId="200" fontId="13" fillId="114" borderId="0" xfId="0" applyNumberFormat="1" applyFont="1" applyFill="1" applyBorder="1" applyAlignment="1">
      <x:alignment vertical="center" wrapText="1"/>
    </x:xf>
    <x:xf numFmtId="0" fontId="15" fillId="115" borderId="0" xfId="0" applyNumberFormat="1" applyFont="1" applyFill="1" applyBorder="1" applyAlignment="1">
      <x:alignment vertical="center" wrapText="1"/>
    </x:xf>
    <x:xf numFmtId="0" fontId="8" fillId="109" borderId="0" xfId="0" applyNumberFormat="1" applyFont="1" applyFill="1" applyBorder="1" applyAlignment="1">
      <x:alignment vertical="center" wrapText="1"/>
    </x:xf>
    <x:xf numFmtId="0" fontId="30" fillId="116" borderId="0" xfId="0" applyNumberFormat="1" applyFont="1" applyFill="1" applyBorder="1" applyAlignment="1">
      <x:alignment wrapText="1"/>
    </x:xf>
    <x:xf numFmtId="0" fontId="7" fillId="113" borderId="0" xfId="0" applyNumberFormat="1" applyFont="1" applyFill="1" applyBorder="1"/>
    <x:xf numFmtId="0" fontId="1" fillId="113" borderId="0" xfId="0" applyNumberFormat="1" applyFont="1" applyFill="1" applyBorder="1"/>
    <x:xf numFmtId="0" fontId="1" fillId="110" borderId="0" xfId="0" applyNumberFormat="1" applyFont="1" applyFill="1" applyBorder="1" applyAlignment="1">
      <x:alignment vertical="center" wrapText="1"/>
    </x:xf>
    <x:xf numFmtId="0" fontId="23" fillId="111" borderId="0" xfId="0" applyNumberFormat="1" applyFont="1" applyFill="1" applyBorder="1" applyAlignment="1">
      <x:alignment vertical="center" wrapText="1"/>
    </x:xf>
    <x:xf numFmtId="0" fontId="20" fillId="115" borderId="0" xfId="0" applyNumberFormat="1" applyFont="1" applyFill="1" applyBorder="1" applyAlignment="1">
      <x:alignment horizontal="left" vertical="center"/>
    </x:xf>
    <x:xf numFmtId="0" fontId="4" fillId="109" borderId="0" xfId="0" applyNumberFormat="1" applyFont="1" applyFill="1" applyBorder="1" applyAlignment="1">
      <x:alignment vertical="center"/>
    </x:xf>
    <x:xf numFmtId="0" fontId="8" fillId="111" borderId="0" xfId="0" applyNumberFormat="1" applyFont="1" applyFill="1" applyBorder="1" applyAlignment="1">
      <x:alignment vertical="center"/>
    </x:xf>
    <x:xf numFmtId="0" fontId="21" fillId="109" borderId="0" xfId="0" applyNumberFormat="1" applyFont="1" applyFill="1" applyBorder="1" applyAlignment="1">
      <x:alignment horizontal="center" vertical="center"/>
    </x:xf>
    <x:xf numFmtId="0" fontId="16" fillId="109" borderId="0" xfId="0" applyNumberFormat="1" applyFont="1" applyFill="1" applyBorder="1" applyAlignment="1">
      <x:alignment horizontal="center" vertical="center"/>
    </x:xf>
    <x:xf numFmtId="0" fontId="22" fillId="115" borderId="0" xfId="0" applyNumberFormat="1" applyFont="1" applyFill="1" applyBorder="1" applyAlignment="1">
      <x:alignment vertical="center"/>
    </x:xf>
    <x:xf numFmtId="0" fontId="3" fillId="115" borderId="0" xfId="0" applyNumberFormat="1" applyFont="1" applyFill="1" applyBorder="1" applyAlignment="1">
      <x:alignment vertical="center"/>
    </x:xf>
    <x:xf numFmtId="0" fontId="1" fillId="114" borderId="0" xfId="0" applyNumberFormat="1" applyFont="1" applyFill="1" applyBorder="1" applyAlignment="1">
      <x:alignment vertical="center" wrapText="1"/>
    </x:xf>
    <x:xf numFmtId="0" fontId="13" fillId="114" borderId="0" xfId="0" applyNumberFormat="1" applyFont="1" applyFill="1" applyBorder="1" applyAlignment="1">
      <x:alignment vertical="center"/>
    </x:xf>
    <x:xf numFmtId="0" fontId="29" fillId="115" borderId="0" xfId="0" applyNumberFormat="1" applyFont="1" applyFill="1" applyBorder="1" applyAlignment="1">
      <x:alignment vertical="center" wrapText="1"/>
    </x:xf>
    <x:xf numFmtId="0" fontId="22" fillId="115" borderId="0" xfId="0" applyNumberFormat="1" applyFont="1" applyFill="1" applyBorder="1" applyAlignment="1">
      <x:alignment vertical="center" wrapText="1"/>
    </x:xf>
    <x:xf numFmtId="0" fontId="17" fillId="114" borderId="0" xfId="0" applyNumberFormat="1" applyFont="1" applyFill="1" applyBorder="1" applyAlignment="1">
      <x:alignment vertical="center"/>
    </x:xf>
    <x:xf numFmtId="0" fontId="23" fillId="114" borderId="0" xfId="0" applyNumberFormat="1" applyFont="1" applyFill="1" applyBorder="1" applyAlignment="1">
      <x:alignment vertical="center"/>
    </x:xf>
    <x:xf numFmtId="200" fontId="17" fillId="111" borderId="0" xfId="0" applyNumberFormat="1" applyFont="1" applyFill="1" applyBorder="1" applyAlignment="1">
      <x:alignment vertical="center"/>
    </x:xf>
    <x:xf numFmtId="200" fontId="8" fillId="111" borderId="0" xfId="0" applyNumberFormat="1" applyFont="1" applyFill="1" applyBorder="1" applyAlignment="1">
      <x:alignment vertical="center"/>
    </x:xf>
    <x:xf numFmtId="0" fontId="24" fillId="110" borderId="0" xfId="0" applyNumberFormat="1" applyFont="1" applyFill="1" applyBorder="1" applyAlignment="1">
      <x:alignment vertical="center"/>
    </x:xf>
    <x:xf numFmtId="0" fontId="17" fillId="113" borderId="0" xfId="0" applyNumberFormat="1" applyFont="1" applyFill="1" applyBorder="1" applyAlignment="1">
      <x:alignment vertical="center"/>
    </x:xf>
    <x:xf numFmtId="0" fontId="25" fillId="107" borderId="0" xfId="0" applyNumberFormat="1" applyFont="1" applyFill="1" applyBorder="1" applyAlignment="1">
      <x:alignment vertical="center" wrapText="1"/>
    </x:xf>
    <x:xf numFmtId="0" fontId="26" fillId="107" borderId="0" xfId="0" applyNumberFormat="1" applyFont="1" applyFill="1" applyBorder="1" applyAlignment="1">
      <x:alignment vertical="center" wrapText="1"/>
    </x:xf>
    <x:xf numFmtId="0" fontId="28" fillId="107" borderId="0" xfId="0" applyNumberFormat="1" applyFont="1" applyFill="1" applyBorder="1" applyAlignment="1">
      <x:alignment vertical="center" wrapText="1"/>
    </x:xf>
    <x:xf numFmtId="0" fontId="19" fillId="116" borderId="0" xfId="0" applyNumberFormat="1" applyFont="1" applyFill="1" applyBorder="1" applyAlignment="1">
      <x:alignment vertical="center" wrapText="1"/>
    </x:xf>
    <x:xf numFmtId="0" fontId="2" fillId="115" borderId="0" xfId="0" applyNumberFormat="1" applyFont="1" applyFill="1" applyBorder="1" applyAlignment="1">
      <x:alignment vertical="center" wrapText="1"/>
    </x:xf>
    <x:xf numFmtId="0" fontId="8" fillId="111" borderId="0" xfId="0" applyNumberFormat="1" applyFont="1" applyFill="1" applyBorder="1" applyAlignment="1">
      <x:alignment vertical="center" wrapText="1"/>
    </x:xf>
    <x:xf numFmtId="0" fontId="9" fillId="109" borderId="0" xfId="0" applyNumberFormat="1" applyFont="1" applyFill="1" applyBorder="1"/>
    <x:xf numFmtId="0" fontId="18" fillId="107" borderId="0" xfId="0" applyNumberFormat="1" applyFont="1" applyFill="1" applyBorder="1"/>
    <x:xf numFmtId="0" fontId="0" fillId="107" borderId="0" xfId="0" applyNumberFormat="1" applyFont="1" applyFill="1" applyBorder="1"/>
    <x:xf numFmtId="0" fontId="18" fillId="110" borderId="0" xfId="0" applyNumberFormat="1" applyFont="1" applyFill="1" applyBorder="1"/>
    <x:xf numFmtId="0" fontId="0" fillId="110" borderId="0" xfId="0" applyNumberFormat="1" applyFont="1" applyFill="1" applyBorder="1"/>
    <x:xf numFmtId="0" fontId="18" fillId="108" borderId="0" xfId="0" applyNumberFormat="1" applyFont="1" applyFill="1" applyBorder="1" applyAlignment="1">
      <x:alignment wrapText="1"/>
    </x:xf>
    <x:xf numFmtId="0" fontId="0" fillId="108" borderId="0" xfId="0" applyNumberFormat="1" applyFont="1" applyFill="1" applyBorder="1" applyAlignment="1">
      <x:alignment wrapText="1"/>
    </x:xf>
    <x:xf numFmtId="0" fontId="9" fillId="115" borderId="0" xfId="0" applyNumberFormat="1" applyFont="1" applyFill="1" applyBorder="1"/>
    <x:xf numFmtId="0" fontId="23" fillId="116" borderId="0" xfId="0" applyNumberFormat="1" applyFont="1" applyFill="1" applyBorder="1" applyAlignment="1">
      <x:alignment vertical="center" wrapText="1"/>
    </x:xf>
    <x:xf numFmtId="0" fontId="31" fillId="111" borderId="0" xfId="0" applyNumberFormat="1" applyFont="1" applyFill="1" applyBorder="1" applyAlignment="1">
      <x:alignment vertical="center" wrapText="1"/>
    </x:xf>
    <x:xf numFmtId="206" fontId="13" fillId="110" borderId="0" xfId="0" applyNumberFormat="1" applyFont="1" applyFill="1" applyBorder="1"/>
    <x:xf numFmtId="204" fontId="9" fillId="115" borderId="0" xfId="0" applyNumberFormat="1" applyFont="1" applyFill="1" applyBorder="1"/>
    <x:xf numFmtId="203" fontId="9" fillId="115" borderId="0" xfId="0" applyNumberFormat="1" applyFont="1" applyFill="1" applyBorder="1"/>
    <x:xf numFmtId="204" fontId="13" fillId="108" borderId="0" xfId="0" applyNumberFormat="1" applyFont="1" applyFill="1" applyBorder="1" applyAlignment="1">
      <x:alignment vertical="center" wrapText="1"/>
    </x:xf>
    <x:xf numFmtId="203" fontId="13" fillId="108" borderId="0" xfId="0" applyNumberFormat="1" applyFont="1" applyFill="1" applyBorder="1" applyAlignment="1">
      <x:alignment vertical="center" wrapText="1"/>
    </x:xf>
    <x:xf numFmtId="0" fontId="7" fillId="107" borderId="0" xfId="0" applyNumberFormat="1" applyFont="1" applyFill="1" applyBorder="1"/>
    <x:xf numFmtId="204" fontId="7" fillId="107" borderId="0" xfId="0" applyNumberFormat="1" applyFont="1" applyFill="1" applyBorder="1"/>
    <x:xf numFmtId="204" fontId="0" fillId="107" borderId="0" xfId="0" applyNumberFormat="1" applyFont="1" applyFill="1" applyBorder="1"/>
    <x:xf numFmtId="0" fontId="9" fillId="107" borderId="0" xfId="0" applyNumberFormat="1" applyFont="1" applyFill="1" applyBorder="1"/>
    <x:xf numFmtId="204" fontId="9" fillId="107" borderId="0" xfId="0" applyNumberFormat="1" applyFont="1" applyFill="1" applyBorder="1"/>
    <x:xf numFmtId="204" fontId="13" fillId="107" borderId="0" xfId="0" applyNumberFormat="1" applyFont="1" applyFill="1" applyBorder="1" applyAlignment="1">
      <x:alignment vertical="center" wrapText="1"/>
    </x:xf>
    <x:xf numFmtId="203" fontId="5" fillId="110" borderId="0" xfId="0" applyNumberFormat="1" applyFont="1" applyFill="1" applyBorder="1"/>
    <x:xf numFmtId="203" fontId="0" fillId="110" borderId="0" xfId="0" applyNumberFormat="1" applyFont="1" applyFill="1" applyBorder="1"/>
    <x:xf numFmtId="203" fontId="9" fillId="110" borderId="0" xfId="0" applyNumberFormat="1" applyFont="1" applyFill="1" applyBorder="1"/>
    <x:xf numFmtId="203" fontId="13" fillId="110" borderId="0" xfId="0" applyNumberFormat="1" applyFont="1" applyFill="1" applyBorder="1" applyAlignment="1">
      <x:alignment vertical="center" wrapText="1"/>
    </x:xf>
    <x:xf numFmtId="0" fontId="27" fillId="114" borderId="0" xfId="0" applyNumberFormat="1" applyFont="1" applyFill="1" applyBorder="1" applyAlignment="1">
      <x:alignment vertical="center" wrapText="1"/>
    </x:xf>
    <x:xf numFmtId="0" fontId="19" fillId="110" borderId="0" xfId="0" applyNumberFormat="1" applyFont="1" applyFill="1" applyBorder="1" applyAlignment="1">
      <x:alignment vertical="center" wrapText="1"/>
    </x:xf>
    <x:xf numFmtId="0" fontId="23" fillId="110" borderId="0" xfId="0" applyNumberFormat="1" applyFont="1" applyFill="1" applyBorder="1" applyAlignment="1">
      <x:alignment vertical="center" wrapText="1"/>
    </x:xf>
    <x:xf numFmtId="0" fontId="13" fillId="117" borderId="0" xfId="0" applyNumberFormat="1" applyFont="1" applyFill="1" applyBorder="1" applyAlignment="1">
      <x:alignment vertical="center" wrapText="1"/>
    </x:xf>
    <x:xf numFmtId="0" fontId="14" fillId="117" borderId="0" xfId="0" applyNumberFormat="1" applyFont="1" applyFill="1" applyBorder="1" applyAlignment="1">
      <x:alignment vertical="center" wrapText="1"/>
    </x:xf>
    <x:xf numFmtId="0" fontId="13" fillId="118" borderId="0" xfId="0" applyNumberFormat="1" applyFont="1" applyFill="1" applyBorder="1" applyAlignment="1">
      <x:alignment vertical="center" wrapText="1"/>
    </x:xf>
    <x:xf numFmtId="0" fontId="1" fillId="118" borderId="0" xfId="0" applyNumberFormat="1" applyFont="1" applyFill="1" applyBorder="1" applyAlignment="1">
      <x:alignment vertical="center" wrapText="1"/>
    </x:xf>
    <x:xf numFmtId="0" fontId="15" fillId="119" borderId="0" xfId="0" applyNumberFormat="1" applyFont="1" applyFill="1" applyBorder="1" applyAlignment="1">
      <x:alignment vertical="center" wrapText="1"/>
    </x:xf>
    <x:xf numFmtId="0" fontId="13" fillId="120" borderId="0" xfId="0" applyNumberFormat="1" applyFont="1" applyFill="1" applyBorder="1" applyAlignment="1">
      <x:alignment vertical="center" wrapText="1"/>
    </x:xf>
    <x:xf numFmtId="0" fontId="15" fillId="121" borderId="0" xfId="0" applyNumberFormat="1" applyFont="1" applyFill="1" applyBorder="1" applyAlignment="1">
      <x:alignment vertical="center" wrapText="1"/>
    </x:xf>
    <x:xf numFmtId="0" fontId="15" fillId="118" borderId="0" xfId="0" applyNumberFormat="1" applyFont="1" applyFill="1" applyBorder="1" applyAlignment="1">
      <x:alignment vertical="center" wrapText="1"/>
    </x:xf>
    <x:xf numFmtId="0" fontId="23" fillId="118" borderId="0" xfId="0" applyNumberFormat="1" applyFont="1" applyFill="1" applyBorder="1" applyAlignment="1">
      <x:alignment vertical="center" wrapText="1"/>
    </x:xf>
    <x:xf numFmtId="0" fontId="21" fillId="122" borderId="0" xfId="0" applyNumberFormat="1" applyFont="1" applyFill="1" applyBorder="1" applyAlignment="1">
      <x:alignment horizontal="center" vertical="center"/>
    </x:xf>
    <x:xf numFmtId="0" fontId="16" fillId="122" borderId="0" xfId="0" applyNumberFormat="1" applyFont="1" applyFill="1" applyBorder="1" applyAlignment="1">
      <x:alignment horizontal="center" vertical="center"/>
    </x:xf>
    <x:xf numFmtId="0" fontId="23" fillId="120" borderId="0" xfId="0" applyNumberFormat="1" applyFont="1" applyFill="1" applyBorder="1" applyAlignment="1">
      <x:alignment vertical="center"/>
    </x:xf>
    <x:xf numFmtId="200" fontId="17" fillId="120" borderId="0" xfId="0" applyNumberFormat="1" applyFont="1" applyFill="1" applyBorder="1" applyAlignment="1">
      <x:alignment vertical="center"/>
    </x:xf>
    <x:xf numFmtId="200" fontId="8" fillId="120" borderId="0" xfId="0" applyNumberFormat="1" applyFont="1" applyFill="1" applyBorder="1" applyAlignment="1">
      <x:alignment vertical="center"/>
    </x:xf>
    <x:xf numFmtId="200" fontId="24" fillId="120" borderId="0" xfId="0" applyNumberFormat="1" applyFont="1" applyFill="1" applyBorder="1" applyAlignment="1">
      <x:alignment vertical="center"/>
    </x:xf>
    <x:xf numFmtId="0" fontId="17" fillId="120" borderId="0" xfId="0" applyNumberFormat="1" applyFont="1" applyFill="1" applyBorder="1" applyAlignment="1">
      <x:alignment vertical="center"/>
    </x:xf>
    <x:xf numFmtId="0" fontId="13" fillId="123" borderId="0" xfId="0" applyNumberFormat="1" applyFont="1" applyFill="1" applyBorder="1" applyAlignment="1">
      <x:alignment vertical="center" wrapText="1"/>
    </x:xf>
    <x:xf numFmtId="205" fontId="13" fillId="123" borderId="0" xfId="0" applyNumberFormat="1" applyFont="1" applyFill="1" applyBorder="1" applyAlignment="1">
      <x:alignment vertical="center" wrapText="1"/>
    </x:xf>
    <x:xf numFmtId="200" fontId="13" fillId="123" borderId="0" xfId="0" applyNumberFormat="1" applyFont="1" applyFill="1" applyBorder="1" applyAlignment="1">
      <x:alignment vertical="center" wrapText="1"/>
    </x:xf>
    <x:xf numFmtId="0" fontId="13" fillId="124" borderId="0" xfId="0" applyNumberFormat="1" applyFont="1" applyFill="1" applyBorder="1" applyAlignment="1">
      <x:alignment vertical="center" wrapText="1"/>
    </x:xf>
    <x:xf numFmtId="205" fontId="13" fillId="124" borderId="0" xfId="0" applyNumberFormat="1" applyFont="1" applyFill="1" applyBorder="1" applyAlignment="1">
      <x:alignment vertical="center" wrapText="1"/>
    </x:xf>
    <x:xf numFmtId="200" fontId="13" fillId="124" borderId="0" xfId="0" applyNumberFormat="1" applyFont="1" applyFill="1" applyBorder="1" applyAlignment="1">
      <x:alignment vertical="center" wrapText="1"/>
    </x:xf>
    <x:xf numFmtId="0" fontId="15" fillId="125" borderId="0" xfId="0" applyNumberFormat="1" applyFont="1" applyFill="1" applyBorder="1" applyAlignment="1">
      <x:alignment vertical="center" wrapText="1"/>
    </x:xf>
    <x:xf numFmtId="0" fontId="8" fillId="119" borderId="0" xfId="0" applyNumberFormat="1" applyFont="1" applyFill="1" applyBorder="1" applyAlignment="1">
      <x:alignment vertical="center" wrapText="1"/>
    </x:xf>
    <x:xf numFmtId="0" fontId="30" fillId="126" borderId="0" xfId="0" applyNumberFormat="1" applyFont="1" applyFill="1" applyBorder="1" applyAlignment="1">
      <x:alignment wrapText="1"/>
    </x:xf>
    <x:xf numFmtId="0" fontId="7" fillId="123" borderId="0" xfId="0" applyNumberFormat="1" applyFont="1" applyFill="1" applyBorder="1"/>
    <x:xf numFmtId="0" fontId="1" fillId="123" borderId="0" xfId="0" applyNumberFormat="1" applyFont="1" applyFill="1" applyBorder="1"/>
    <x:xf numFmtId="0" fontId="1" fillId="120" borderId="0" xfId="0" applyNumberFormat="1" applyFont="1" applyFill="1" applyBorder="1" applyAlignment="1">
      <x:alignment vertical="center" wrapText="1"/>
    </x:xf>
    <x:xf numFmtId="0" fontId="23" fillId="121" borderId="0" xfId="0" applyNumberFormat="1" applyFont="1" applyFill="1" applyBorder="1" applyAlignment="1">
      <x:alignment vertical="center" wrapText="1"/>
    </x:xf>
    <x:xf numFmtId="0" fontId="20" fillId="125" borderId="0" xfId="0" applyNumberFormat="1" applyFont="1" applyFill="1" applyBorder="1" applyAlignment="1">
      <x:alignment horizontal="left" vertical="center"/>
    </x:xf>
    <x:xf numFmtId="0" fontId="4" fillId="119" borderId="0" xfId="0" applyNumberFormat="1" applyFont="1" applyFill="1" applyBorder="1" applyAlignment="1">
      <x:alignment vertical="center"/>
    </x:xf>
    <x:xf numFmtId="0" fontId="8" fillId="121" borderId="0" xfId="0" applyNumberFormat="1" applyFont="1" applyFill="1" applyBorder="1" applyAlignment="1">
      <x:alignment vertical="center"/>
    </x:xf>
    <x:xf numFmtId="0" fontId="21" fillId="119" borderId="0" xfId="0" applyNumberFormat="1" applyFont="1" applyFill="1" applyBorder="1" applyAlignment="1">
      <x:alignment horizontal="center" vertical="center"/>
    </x:xf>
    <x:xf numFmtId="0" fontId="16" fillId="119" borderId="0" xfId="0" applyNumberFormat="1" applyFont="1" applyFill="1" applyBorder="1" applyAlignment="1">
      <x:alignment horizontal="center" vertical="center"/>
    </x:xf>
    <x:xf numFmtId="0" fontId="22" fillId="125" borderId="0" xfId="0" applyNumberFormat="1" applyFont="1" applyFill="1" applyBorder="1" applyAlignment="1">
      <x:alignment vertical="center"/>
    </x:xf>
    <x:xf numFmtId="0" fontId="3" fillId="125" borderId="0" xfId="0" applyNumberFormat="1" applyFont="1" applyFill="1" applyBorder="1" applyAlignment="1">
      <x:alignment vertical="center"/>
    </x:xf>
    <x:xf numFmtId="0" fontId="1" fillId="124" borderId="0" xfId="0" applyNumberFormat="1" applyFont="1" applyFill="1" applyBorder="1" applyAlignment="1">
      <x:alignment vertical="center" wrapText="1"/>
    </x:xf>
    <x:xf numFmtId="0" fontId="13" fillId="124" borderId="0" xfId="0" applyNumberFormat="1" applyFont="1" applyFill="1" applyBorder="1" applyAlignment="1">
      <x:alignment vertical="center"/>
    </x:xf>
    <x:xf numFmtId="0" fontId="29" fillId="125" borderId="0" xfId="0" applyNumberFormat="1" applyFont="1" applyFill="1" applyBorder="1" applyAlignment="1">
      <x:alignment vertical="center" wrapText="1"/>
    </x:xf>
    <x:xf numFmtId="0" fontId="22" fillId="125" borderId="0" xfId="0" applyNumberFormat="1" applyFont="1" applyFill="1" applyBorder="1" applyAlignment="1">
      <x:alignment vertical="center" wrapText="1"/>
    </x:xf>
    <x:xf numFmtId="0" fontId="17" fillId="124" borderId="0" xfId="0" applyNumberFormat="1" applyFont="1" applyFill="1" applyBorder="1" applyAlignment="1">
      <x:alignment vertical="center"/>
    </x:xf>
    <x:xf numFmtId="0" fontId="23" fillId="124" borderId="0" xfId="0" applyNumberFormat="1" applyFont="1" applyFill="1" applyBorder="1" applyAlignment="1">
      <x:alignment vertical="center"/>
    </x:xf>
    <x:xf numFmtId="200" fontId="17" fillId="121" borderId="0" xfId="0" applyNumberFormat="1" applyFont="1" applyFill="1" applyBorder="1" applyAlignment="1">
      <x:alignment vertical="center"/>
    </x:xf>
    <x:xf numFmtId="200" fontId="8" fillId="121" borderId="0" xfId="0" applyNumberFormat="1" applyFont="1" applyFill="1" applyBorder="1" applyAlignment="1">
      <x:alignment vertical="center"/>
    </x:xf>
    <x:xf numFmtId="0" fontId="24" fillId="120" borderId="0" xfId="0" applyNumberFormat="1" applyFont="1" applyFill="1" applyBorder="1" applyAlignment="1">
      <x:alignment vertical="center"/>
    </x:xf>
    <x:xf numFmtId="0" fontId="17" fillId="123" borderId="0" xfId="0" applyNumberFormat="1" applyFont="1" applyFill="1" applyBorder="1" applyAlignment="1">
      <x:alignment vertical="center"/>
    </x:xf>
    <x:xf numFmtId="0" fontId="25" fillId="117" borderId="0" xfId="0" applyNumberFormat="1" applyFont="1" applyFill="1" applyBorder="1" applyAlignment="1">
      <x:alignment vertical="center" wrapText="1"/>
    </x:xf>
    <x:xf numFmtId="0" fontId="26" fillId="117" borderId="0" xfId="0" applyNumberFormat="1" applyFont="1" applyFill="1" applyBorder="1" applyAlignment="1">
      <x:alignment vertical="center" wrapText="1"/>
    </x:xf>
    <x:xf numFmtId="0" fontId="28" fillId="117" borderId="0" xfId="0" applyNumberFormat="1" applyFont="1" applyFill="1" applyBorder="1" applyAlignment="1">
      <x:alignment vertical="center" wrapText="1"/>
    </x:xf>
    <x:xf numFmtId="0" fontId="19" fillId="126" borderId="0" xfId="0" applyNumberFormat="1" applyFont="1" applyFill="1" applyBorder="1" applyAlignment="1">
      <x:alignment vertical="center" wrapText="1"/>
    </x:xf>
    <x:xf numFmtId="0" fontId="2" fillId="125" borderId="0" xfId="0" applyNumberFormat="1" applyFont="1" applyFill="1" applyBorder="1" applyAlignment="1">
      <x:alignment vertical="center" wrapText="1"/>
    </x:xf>
    <x:xf numFmtId="0" fontId="8" fillId="121" borderId="0" xfId="0" applyNumberFormat="1" applyFont="1" applyFill="1" applyBorder="1" applyAlignment="1">
      <x:alignment vertical="center" wrapText="1"/>
    </x:xf>
    <x:xf numFmtId="0" fontId="9" fillId="119" borderId="0" xfId="0" applyNumberFormat="1" applyFont="1" applyFill="1" applyBorder="1"/>
    <x:xf numFmtId="0" fontId="18" fillId="117" borderId="0" xfId="0" applyNumberFormat="1" applyFont="1" applyFill="1" applyBorder="1"/>
    <x:xf numFmtId="0" fontId="0" fillId="117" borderId="0" xfId="0" applyNumberFormat="1" applyFont="1" applyFill="1" applyBorder="1"/>
    <x:xf numFmtId="0" fontId="18" fillId="120" borderId="0" xfId="0" applyNumberFormat="1" applyFont="1" applyFill="1" applyBorder="1"/>
    <x:xf numFmtId="0" fontId="0" fillId="120" borderId="0" xfId="0" applyNumberFormat="1" applyFont="1" applyFill="1" applyBorder="1"/>
    <x:xf numFmtId="0" fontId="18" fillId="118" borderId="0" xfId="0" applyNumberFormat="1" applyFont="1" applyFill="1" applyBorder="1" applyAlignment="1">
      <x:alignment wrapText="1"/>
    </x:xf>
    <x:xf numFmtId="0" fontId="0" fillId="118" borderId="0" xfId="0" applyNumberFormat="1" applyFont="1" applyFill="1" applyBorder="1" applyAlignment="1">
      <x:alignment wrapText="1"/>
    </x:xf>
    <x:xf numFmtId="0" fontId="9" fillId="125" borderId="0" xfId="0" applyNumberFormat="1" applyFont="1" applyFill="1" applyBorder="1"/>
    <x:xf numFmtId="0" fontId="23" fillId="126" borderId="0" xfId="0" applyNumberFormat="1" applyFont="1" applyFill="1" applyBorder="1" applyAlignment="1">
      <x:alignment vertical="center" wrapText="1"/>
    </x:xf>
    <x:xf numFmtId="0" fontId="31" fillId="121" borderId="0" xfId="0" applyNumberFormat="1" applyFont="1" applyFill="1" applyBorder="1" applyAlignment="1">
      <x:alignment vertical="center" wrapText="1"/>
    </x:xf>
    <x:xf numFmtId="206" fontId="13" fillId="120" borderId="0" xfId="0" applyNumberFormat="1" applyFont="1" applyFill="1" applyBorder="1"/>
    <x:xf numFmtId="204" fontId="9" fillId="125" borderId="0" xfId="0" applyNumberFormat="1" applyFont="1" applyFill="1" applyBorder="1"/>
    <x:xf numFmtId="203" fontId="9" fillId="125" borderId="0" xfId="0" applyNumberFormat="1" applyFont="1" applyFill="1" applyBorder="1"/>
    <x:xf numFmtId="204" fontId="13" fillId="118" borderId="0" xfId="0" applyNumberFormat="1" applyFont="1" applyFill="1" applyBorder="1" applyAlignment="1">
      <x:alignment vertical="center" wrapText="1"/>
    </x:xf>
    <x:xf numFmtId="203" fontId="13" fillId="118" borderId="0" xfId="0" applyNumberFormat="1" applyFont="1" applyFill="1" applyBorder="1" applyAlignment="1">
      <x:alignment vertical="center" wrapText="1"/>
    </x:xf>
    <x:xf numFmtId="0" fontId="7" fillId="117" borderId="0" xfId="0" applyNumberFormat="1" applyFont="1" applyFill="1" applyBorder="1"/>
    <x:xf numFmtId="204" fontId="7" fillId="117" borderId="0" xfId="0" applyNumberFormat="1" applyFont="1" applyFill="1" applyBorder="1"/>
    <x:xf numFmtId="204" fontId="0" fillId="117" borderId="0" xfId="0" applyNumberFormat="1" applyFont="1" applyFill="1" applyBorder="1"/>
    <x:xf numFmtId="0" fontId="9" fillId="117" borderId="0" xfId="0" applyNumberFormat="1" applyFont="1" applyFill="1" applyBorder="1"/>
    <x:xf numFmtId="204" fontId="9" fillId="117" borderId="0" xfId="0" applyNumberFormat="1" applyFont="1" applyFill="1" applyBorder="1"/>
    <x:xf numFmtId="204" fontId="13" fillId="117" borderId="0" xfId="0" applyNumberFormat="1" applyFont="1" applyFill="1" applyBorder="1" applyAlignment="1">
      <x:alignment vertical="center" wrapText="1"/>
    </x:xf>
    <x:xf numFmtId="203" fontId="5" fillId="120" borderId="0" xfId="0" applyNumberFormat="1" applyFont="1" applyFill="1" applyBorder="1"/>
    <x:xf numFmtId="203" fontId="0" fillId="120" borderId="0" xfId="0" applyNumberFormat="1" applyFont="1" applyFill="1" applyBorder="1"/>
    <x:xf numFmtId="203" fontId="9" fillId="120" borderId="0" xfId="0" applyNumberFormat="1" applyFont="1" applyFill="1" applyBorder="1"/>
    <x:xf numFmtId="203" fontId="13" fillId="120" borderId="0" xfId="0" applyNumberFormat="1" applyFont="1" applyFill="1" applyBorder="1" applyAlignment="1">
      <x:alignment vertical="center" wrapText="1"/>
    </x:xf>
    <x:xf numFmtId="0" fontId="27" fillId="124" borderId="0" xfId="0" applyNumberFormat="1" applyFont="1" applyFill="1" applyBorder="1" applyAlignment="1">
      <x:alignment vertical="center" wrapText="1"/>
    </x:xf>
    <x:xf numFmtId="0" fontId="19" fillId="120" borderId="0" xfId="0" applyNumberFormat="1" applyFont="1" applyFill="1" applyBorder="1" applyAlignment="1">
      <x:alignment vertical="center" wrapText="1"/>
    </x:xf>
    <x:xf numFmtId="0" fontId="23" fillId="120" borderId="0" xfId="0" applyNumberFormat="1" applyFont="1" applyFill="1" applyBorder="1" applyAlignment="1">
      <x:alignment vertical="center" wrapText="1"/>
    </x:xf>
    <x:xf numFmtId="0" fontId="13" fillId="127" borderId="0" xfId="0" applyNumberFormat="1" applyFont="1" applyFill="1" applyBorder="1" applyAlignment="1">
      <x:alignment vertical="center" wrapText="1"/>
    </x:xf>
    <x:xf numFmtId="0" fontId="14" fillId="127" borderId="0" xfId="0" applyNumberFormat="1" applyFont="1" applyFill="1" applyBorder="1" applyAlignment="1">
      <x:alignment vertical="center" wrapText="1"/>
    </x:xf>
    <x:xf numFmtId="0" fontId="13" fillId="128" borderId="0" xfId="0" applyNumberFormat="1" applyFont="1" applyFill="1" applyBorder="1" applyAlignment="1">
      <x:alignment vertical="center" wrapText="1"/>
    </x:xf>
    <x:xf numFmtId="0" fontId="1" fillId="128" borderId="0" xfId="0" applyNumberFormat="1" applyFont="1" applyFill="1" applyBorder="1" applyAlignment="1">
      <x:alignment vertical="center" wrapText="1"/>
    </x:xf>
    <x:xf numFmtId="0" fontId="15" fillId="129" borderId="0" xfId="0" applyNumberFormat="1" applyFont="1" applyFill="1" applyBorder="1" applyAlignment="1">
      <x:alignment vertical="center" wrapText="1"/>
    </x:xf>
    <x:xf numFmtId="0" fontId="13" fillId="130" borderId="0" xfId="0" applyNumberFormat="1" applyFont="1" applyFill="1" applyBorder="1" applyAlignment="1">
      <x:alignment vertical="center" wrapText="1"/>
    </x:xf>
    <x:xf numFmtId="0" fontId="15" fillId="131" borderId="0" xfId="0" applyNumberFormat="1" applyFont="1" applyFill="1" applyBorder="1" applyAlignment="1">
      <x:alignment vertical="center" wrapText="1"/>
    </x:xf>
    <x:xf numFmtId="0" fontId="15" fillId="128" borderId="0" xfId="0" applyNumberFormat="1" applyFont="1" applyFill="1" applyBorder="1" applyAlignment="1">
      <x:alignment vertical="center" wrapText="1"/>
    </x:xf>
    <x:xf numFmtId="0" fontId="23" fillId="128" borderId="0" xfId="0" applyNumberFormat="1" applyFont="1" applyFill="1" applyBorder="1" applyAlignment="1">
      <x:alignment vertical="center" wrapText="1"/>
    </x:xf>
    <x:xf numFmtId="0" fontId="21" fillId="132" borderId="0" xfId="0" applyNumberFormat="1" applyFont="1" applyFill="1" applyBorder="1" applyAlignment="1">
      <x:alignment horizontal="center" vertical="center"/>
    </x:xf>
    <x:xf numFmtId="0" fontId="16" fillId="132" borderId="0" xfId="0" applyNumberFormat="1" applyFont="1" applyFill="1" applyBorder="1" applyAlignment="1">
      <x:alignment horizontal="center" vertical="center"/>
    </x:xf>
    <x:xf numFmtId="0" fontId="23" fillId="130" borderId="0" xfId="0" applyNumberFormat="1" applyFont="1" applyFill="1" applyBorder="1" applyAlignment="1">
      <x:alignment vertical="center"/>
    </x:xf>
    <x:xf numFmtId="200" fontId="17" fillId="130" borderId="0" xfId="0" applyNumberFormat="1" applyFont="1" applyFill="1" applyBorder="1" applyAlignment="1">
      <x:alignment vertical="center"/>
    </x:xf>
    <x:xf numFmtId="200" fontId="8" fillId="130" borderId="0" xfId="0" applyNumberFormat="1" applyFont="1" applyFill="1" applyBorder="1" applyAlignment="1">
      <x:alignment vertical="center"/>
    </x:xf>
    <x:xf numFmtId="200" fontId="24" fillId="130" borderId="0" xfId="0" applyNumberFormat="1" applyFont="1" applyFill="1" applyBorder="1" applyAlignment="1">
      <x:alignment vertical="center"/>
    </x:xf>
    <x:xf numFmtId="0" fontId="17" fillId="130" borderId="0" xfId="0" applyNumberFormat="1" applyFont="1" applyFill="1" applyBorder="1" applyAlignment="1">
      <x:alignment vertical="center"/>
    </x:xf>
    <x:xf numFmtId="0" fontId="13" fillId="133" borderId="0" xfId="0" applyNumberFormat="1" applyFont="1" applyFill="1" applyBorder="1" applyAlignment="1">
      <x:alignment vertical="center" wrapText="1"/>
    </x:xf>
    <x:xf numFmtId="205" fontId="13" fillId="133" borderId="0" xfId="0" applyNumberFormat="1" applyFont="1" applyFill="1" applyBorder="1" applyAlignment="1">
      <x:alignment vertical="center" wrapText="1"/>
    </x:xf>
    <x:xf numFmtId="200" fontId="13" fillId="133" borderId="0" xfId="0" applyNumberFormat="1" applyFont="1" applyFill="1" applyBorder="1" applyAlignment="1">
      <x:alignment vertical="center" wrapText="1"/>
    </x:xf>
    <x:xf numFmtId="0" fontId="13" fillId="134" borderId="0" xfId="0" applyNumberFormat="1" applyFont="1" applyFill="1" applyBorder="1" applyAlignment="1">
      <x:alignment vertical="center" wrapText="1"/>
    </x:xf>
    <x:xf numFmtId="205" fontId="13" fillId="134" borderId="0" xfId="0" applyNumberFormat="1" applyFont="1" applyFill="1" applyBorder="1" applyAlignment="1">
      <x:alignment vertical="center" wrapText="1"/>
    </x:xf>
    <x:xf numFmtId="200" fontId="13" fillId="134" borderId="0" xfId="0" applyNumberFormat="1" applyFont="1" applyFill="1" applyBorder="1" applyAlignment="1">
      <x:alignment vertical="center" wrapText="1"/>
    </x:xf>
    <x:xf numFmtId="0" fontId="15" fillId="135" borderId="0" xfId="0" applyNumberFormat="1" applyFont="1" applyFill="1" applyBorder="1" applyAlignment="1">
      <x:alignment vertical="center" wrapText="1"/>
    </x:xf>
    <x:xf numFmtId="0" fontId="8" fillId="129" borderId="0" xfId="0" applyNumberFormat="1" applyFont="1" applyFill="1" applyBorder="1" applyAlignment="1">
      <x:alignment vertical="center" wrapText="1"/>
    </x:xf>
    <x:xf numFmtId="0" fontId="30" fillId="136" borderId="0" xfId="0" applyNumberFormat="1" applyFont="1" applyFill="1" applyBorder="1" applyAlignment="1">
      <x:alignment wrapText="1"/>
    </x:xf>
    <x:xf numFmtId="0" fontId="7" fillId="133" borderId="0" xfId="0" applyNumberFormat="1" applyFont="1" applyFill="1" applyBorder="1"/>
    <x:xf numFmtId="0" fontId="1" fillId="133" borderId="0" xfId="0" applyNumberFormat="1" applyFont="1" applyFill="1" applyBorder="1"/>
    <x:xf numFmtId="0" fontId="1" fillId="130" borderId="0" xfId="0" applyNumberFormat="1" applyFont="1" applyFill="1" applyBorder="1" applyAlignment="1">
      <x:alignment vertical="center" wrapText="1"/>
    </x:xf>
    <x:xf numFmtId="0" fontId="23" fillId="131" borderId="0" xfId="0" applyNumberFormat="1" applyFont="1" applyFill="1" applyBorder="1" applyAlignment="1">
      <x:alignment vertical="center" wrapText="1"/>
    </x:xf>
    <x:xf numFmtId="0" fontId="20" fillId="135" borderId="0" xfId="0" applyNumberFormat="1" applyFont="1" applyFill="1" applyBorder="1" applyAlignment="1">
      <x:alignment horizontal="left" vertical="center"/>
    </x:xf>
    <x:xf numFmtId="0" fontId="4" fillId="129" borderId="0" xfId="0" applyNumberFormat="1" applyFont="1" applyFill="1" applyBorder="1" applyAlignment="1">
      <x:alignment vertical="center"/>
    </x:xf>
    <x:xf numFmtId="0" fontId="8" fillId="131" borderId="0" xfId="0" applyNumberFormat="1" applyFont="1" applyFill="1" applyBorder="1" applyAlignment="1">
      <x:alignment vertical="center"/>
    </x:xf>
    <x:xf numFmtId="0" fontId="21" fillId="129" borderId="0" xfId="0" applyNumberFormat="1" applyFont="1" applyFill="1" applyBorder="1" applyAlignment="1">
      <x:alignment horizontal="center" vertical="center"/>
    </x:xf>
    <x:xf numFmtId="0" fontId="16" fillId="129" borderId="0" xfId="0" applyNumberFormat="1" applyFont="1" applyFill="1" applyBorder="1" applyAlignment="1">
      <x:alignment horizontal="center" vertical="center"/>
    </x:xf>
    <x:xf numFmtId="0" fontId="22" fillId="135" borderId="0" xfId="0" applyNumberFormat="1" applyFont="1" applyFill="1" applyBorder="1" applyAlignment="1">
      <x:alignment vertical="center"/>
    </x:xf>
    <x:xf numFmtId="0" fontId="3" fillId="135" borderId="0" xfId="0" applyNumberFormat="1" applyFont="1" applyFill="1" applyBorder="1" applyAlignment="1">
      <x:alignment vertical="center"/>
    </x:xf>
    <x:xf numFmtId="0" fontId="1" fillId="134" borderId="0" xfId="0" applyNumberFormat="1" applyFont="1" applyFill="1" applyBorder="1" applyAlignment="1">
      <x:alignment vertical="center" wrapText="1"/>
    </x:xf>
    <x:xf numFmtId="0" fontId="13" fillId="134" borderId="0" xfId="0" applyNumberFormat="1" applyFont="1" applyFill="1" applyBorder="1" applyAlignment="1">
      <x:alignment vertical="center"/>
    </x:xf>
    <x:xf numFmtId="0" fontId="29" fillId="135" borderId="0" xfId="0" applyNumberFormat="1" applyFont="1" applyFill="1" applyBorder="1" applyAlignment="1">
      <x:alignment vertical="center" wrapText="1"/>
    </x:xf>
    <x:xf numFmtId="0" fontId="22" fillId="135" borderId="0" xfId="0" applyNumberFormat="1" applyFont="1" applyFill="1" applyBorder="1" applyAlignment="1">
      <x:alignment vertical="center" wrapText="1"/>
    </x:xf>
    <x:xf numFmtId="0" fontId="17" fillId="134" borderId="0" xfId="0" applyNumberFormat="1" applyFont="1" applyFill="1" applyBorder="1" applyAlignment="1">
      <x:alignment vertical="center"/>
    </x:xf>
    <x:xf numFmtId="0" fontId="23" fillId="134" borderId="0" xfId="0" applyNumberFormat="1" applyFont="1" applyFill="1" applyBorder="1" applyAlignment="1">
      <x:alignment vertical="center"/>
    </x:xf>
    <x:xf numFmtId="200" fontId="17" fillId="131" borderId="0" xfId="0" applyNumberFormat="1" applyFont="1" applyFill="1" applyBorder="1" applyAlignment="1">
      <x:alignment vertical="center"/>
    </x:xf>
    <x:xf numFmtId="200" fontId="8" fillId="131" borderId="0" xfId="0" applyNumberFormat="1" applyFont="1" applyFill="1" applyBorder="1" applyAlignment="1">
      <x:alignment vertical="center"/>
    </x:xf>
    <x:xf numFmtId="0" fontId="24" fillId="130" borderId="0" xfId="0" applyNumberFormat="1" applyFont="1" applyFill="1" applyBorder="1" applyAlignment="1">
      <x:alignment vertical="center"/>
    </x:xf>
    <x:xf numFmtId="0" fontId="17" fillId="133" borderId="0" xfId="0" applyNumberFormat="1" applyFont="1" applyFill="1" applyBorder="1" applyAlignment="1">
      <x:alignment vertical="center"/>
    </x:xf>
    <x:xf numFmtId="0" fontId="25" fillId="127" borderId="0" xfId="0" applyNumberFormat="1" applyFont="1" applyFill="1" applyBorder="1" applyAlignment="1">
      <x:alignment vertical="center" wrapText="1"/>
    </x:xf>
    <x:xf numFmtId="0" fontId="26" fillId="127" borderId="0" xfId="0" applyNumberFormat="1" applyFont="1" applyFill="1" applyBorder="1" applyAlignment="1">
      <x:alignment vertical="center" wrapText="1"/>
    </x:xf>
    <x:xf numFmtId="0" fontId="28" fillId="127" borderId="0" xfId="0" applyNumberFormat="1" applyFont="1" applyFill="1" applyBorder="1" applyAlignment="1">
      <x:alignment vertical="center" wrapText="1"/>
    </x:xf>
    <x:xf numFmtId="0" fontId="19" fillId="136" borderId="0" xfId="0" applyNumberFormat="1" applyFont="1" applyFill="1" applyBorder="1" applyAlignment="1">
      <x:alignment vertical="center" wrapText="1"/>
    </x:xf>
    <x:xf numFmtId="0" fontId="2" fillId="135" borderId="0" xfId="0" applyNumberFormat="1" applyFont="1" applyFill="1" applyBorder="1" applyAlignment="1">
      <x:alignment vertical="center" wrapText="1"/>
    </x:xf>
    <x:xf numFmtId="0" fontId="8" fillId="131" borderId="0" xfId="0" applyNumberFormat="1" applyFont="1" applyFill="1" applyBorder="1" applyAlignment="1">
      <x:alignment vertical="center" wrapText="1"/>
    </x:xf>
    <x:xf numFmtId="0" fontId="9" fillId="129" borderId="0" xfId="0" applyNumberFormat="1" applyFont="1" applyFill="1" applyBorder="1"/>
    <x:xf numFmtId="0" fontId="18" fillId="127" borderId="0" xfId="0" applyNumberFormat="1" applyFont="1" applyFill="1" applyBorder="1"/>
    <x:xf numFmtId="0" fontId="0" fillId="127" borderId="0" xfId="0" applyNumberFormat="1" applyFont="1" applyFill="1" applyBorder="1"/>
    <x:xf numFmtId="0" fontId="18" fillId="130" borderId="0" xfId="0" applyNumberFormat="1" applyFont="1" applyFill="1" applyBorder="1"/>
    <x:xf numFmtId="0" fontId="0" fillId="130" borderId="0" xfId="0" applyNumberFormat="1" applyFont="1" applyFill="1" applyBorder="1"/>
    <x:xf numFmtId="0" fontId="18" fillId="128" borderId="0" xfId="0" applyNumberFormat="1" applyFont="1" applyFill="1" applyBorder="1" applyAlignment="1">
      <x:alignment wrapText="1"/>
    </x:xf>
    <x:xf numFmtId="0" fontId="0" fillId="128" borderId="0" xfId="0" applyNumberFormat="1" applyFont="1" applyFill="1" applyBorder="1" applyAlignment="1">
      <x:alignment wrapText="1"/>
    </x:xf>
    <x:xf numFmtId="0" fontId="9" fillId="135" borderId="0" xfId="0" applyNumberFormat="1" applyFont="1" applyFill="1" applyBorder="1"/>
    <x:xf numFmtId="0" fontId="23" fillId="136" borderId="0" xfId="0" applyNumberFormat="1" applyFont="1" applyFill="1" applyBorder="1" applyAlignment="1">
      <x:alignment vertical="center" wrapText="1"/>
    </x:xf>
    <x:xf numFmtId="0" fontId="31" fillId="131" borderId="0" xfId="0" applyNumberFormat="1" applyFont="1" applyFill="1" applyBorder="1" applyAlignment="1">
      <x:alignment vertical="center" wrapText="1"/>
    </x:xf>
    <x:xf numFmtId="206" fontId="13" fillId="130" borderId="0" xfId="0" applyNumberFormat="1" applyFont="1" applyFill="1" applyBorder="1"/>
    <x:xf numFmtId="204" fontId="9" fillId="135" borderId="0" xfId="0" applyNumberFormat="1" applyFont="1" applyFill="1" applyBorder="1"/>
    <x:xf numFmtId="203" fontId="9" fillId="135" borderId="0" xfId="0" applyNumberFormat="1" applyFont="1" applyFill="1" applyBorder="1"/>
    <x:xf numFmtId="204" fontId="13" fillId="128" borderId="0" xfId="0" applyNumberFormat="1" applyFont="1" applyFill="1" applyBorder="1" applyAlignment="1">
      <x:alignment vertical="center" wrapText="1"/>
    </x:xf>
    <x:xf numFmtId="203" fontId="13" fillId="128" borderId="0" xfId="0" applyNumberFormat="1" applyFont="1" applyFill="1" applyBorder="1" applyAlignment="1">
      <x:alignment vertical="center" wrapText="1"/>
    </x:xf>
    <x:xf numFmtId="0" fontId="7" fillId="127" borderId="0" xfId="0" applyNumberFormat="1" applyFont="1" applyFill="1" applyBorder="1"/>
    <x:xf numFmtId="204" fontId="7" fillId="127" borderId="0" xfId="0" applyNumberFormat="1" applyFont="1" applyFill="1" applyBorder="1"/>
    <x:xf numFmtId="204" fontId="0" fillId="127" borderId="0" xfId="0" applyNumberFormat="1" applyFont="1" applyFill="1" applyBorder="1"/>
    <x:xf numFmtId="0" fontId="9" fillId="127" borderId="0" xfId="0" applyNumberFormat="1" applyFont="1" applyFill="1" applyBorder="1"/>
    <x:xf numFmtId="204" fontId="9" fillId="127" borderId="0" xfId="0" applyNumberFormat="1" applyFont="1" applyFill="1" applyBorder="1"/>
    <x:xf numFmtId="204" fontId="13" fillId="127" borderId="0" xfId="0" applyNumberFormat="1" applyFont="1" applyFill="1" applyBorder="1" applyAlignment="1">
      <x:alignment vertical="center" wrapText="1"/>
    </x:xf>
    <x:xf numFmtId="203" fontId="5" fillId="130" borderId="0" xfId="0" applyNumberFormat="1" applyFont="1" applyFill="1" applyBorder="1"/>
    <x:xf numFmtId="203" fontId="0" fillId="130" borderId="0" xfId="0" applyNumberFormat="1" applyFont="1" applyFill="1" applyBorder="1"/>
    <x:xf numFmtId="203" fontId="9" fillId="130" borderId="0" xfId="0" applyNumberFormat="1" applyFont="1" applyFill="1" applyBorder="1"/>
    <x:xf numFmtId="203" fontId="13" fillId="130" borderId="0" xfId="0" applyNumberFormat="1" applyFont="1" applyFill="1" applyBorder="1" applyAlignment="1">
      <x:alignment vertical="center" wrapText="1"/>
    </x:xf>
    <x:xf numFmtId="0" fontId="27" fillId="134" borderId="0" xfId="0" applyNumberFormat="1" applyFont="1" applyFill="1" applyBorder="1" applyAlignment="1">
      <x:alignment vertical="center" wrapText="1"/>
    </x:xf>
    <x:xf numFmtId="0" fontId="0" fillId="133" borderId="0" xfId="0" applyNumberFormat="1" applyFont="1" applyFill="1" applyBorder="1"/>
    <x:xf numFmtId="0" fontId="0" fillId="133" borderId="0" xfId="0" applyNumberFormat="1" applyFont="1" applyFill="1" applyBorder="1" applyAlignment="1">
      <x:alignment vertical="center" wrapText="1"/>
    </x:xf>
    <x:xf numFmtId="0" fontId="19" fillId="130" borderId="0" xfId="0" applyNumberFormat="1" applyFont="1" applyFill="1" applyBorder="1" applyAlignment="1">
      <x:alignment vertical="center" wrapText="1"/>
    </x:xf>
    <x:xf numFmtId="0" fontId="23" fillId="130" borderId="0" xfId="0" applyNumberFormat="1" applyFont="1" applyFill="1" applyBorder="1" applyAlignment="1">
      <x:alignment vertical="center" wrapText="1"/>
    </x:xf>
    <x:xf numFmtId="0" fontId="32" fillId="24" borderId="0" xfId="0" applyNumberFormat="1" applyFont="1" applyFill="1" applyBorder="1" applyAlignment="1">
      <x:alignment vertical="center" wrapText="1"/>
    </x:xf>
    <x:xf numFmtId="205" fontId="32" fillId="24" borderId="0" xfId="0" applyNumberFormat="1" applyFont="1" applyFill="1" applyBorder="1" applyAlignment="1">
      <x:alignment vertical="center" wrapText="1"/>
    </x:xf>
    <x:xf numFmtId="200" fontId="32" fillId="24" borderId="0" xfId="0" applyNumberFormat="1" applyFont="1" applyFill="1" applyBorder="1" applyAlignment="1">
      <x:alignment vertical="center" wrapText="1"/>
    </x:xf>
    <x:xf numFmtId="0" fontId="32" fillId="25" borderId="0" xfId="0" applyNumberFormat="1" applyFont="1" applyFill="1" applyBorder="1" applyAlignment="1">
      <x:alignment vertical="center" wrapText="1"/>
    </x:xf>
    <x:xf numFmtId="205" fontId="32" fillId="25" borderId="0" xfId="0" applyNumberFormat="1" applyFont="1" applyFill="1" applyBorder="1" applyAlignment="1">
      <x:alignment vertical="center" wrapText="1"/>
    </x:xf>
    <x:xf numFmtId="200" fontId="32" fillId="25" borderId="0" xfId="0" applyNumberFormat="1" applyFont="1" applyFill="1" applyBorder="1" applyAlignment="1">
      <x:alignment vertical="center" wrapText="1"/>
    </x:xf>
    <x:xf numFmtId="0" fontId="32" fillId="0" borderId="0" xfId="0" applyNumberFormat="1" applyFont="1" applyFill="1" applyBorder="1"/>
    <x:xf numFmtId="0" fontId="32" fillId="0" borderId="0" xfId="0" applyNumberFormat="1" applyFont="1" applyFill="1" applyBorder="1" applyAlignment="1">
      <x:alignment wrapText="1"/>
    </x:xf>
    <x:xf numFmtId="0" fontId="32" fillId="0" borderId="0" xfId="0" applyNumberFormat="1" applyFont="1" applyFill="1" applyBorder="1" applyAlignment="1">
      <x:alignment vertical="center" wrapText="1"/>
    </x:xf>
    <x:xf numFmtId="0" fontId="8" fillId="137" borderId="0" xfId="0" applyNumberFormat="1" applyFont="1" applyFill="1" applyBorder="1" applyAlignment="1">
      <x:alignment vertical="center" wrapText="1"/>
    </x:xf>
    <x:xf numFmtId="0" fontId="33" fillId="137" borderId="0" xfId="0" applyNumberFormat="1" applyFont="1" applyFill="1" applyBorder="1" applyAlignment="1">
      <x:alignment vertical="center" wrapText="1"/>
    </x:xf>
    <x:xf numFmtId="0" fontId="32" fillId="138" borderId="0" xfId="0" applyNumberFormat="1" applyFont="1" applyFill="1" applyBorder="1" applyAlignment="1">
      <x:alignment vertical="center" wrapText="1"/>
    </x:xf>
    <x:xf numFmtId="205" fontId="32" fillId="138" borderId="0" xfId="0" applyNumberFormat="1" applyFont="1" applyFill="1" applyBorder="1" applyAlignment="1">
      <x:alignment vertical="center" wrapText="1"/>
    </x:xf>
    <x:xf numFmtId="200" fontId="32" fillId="138" borderId="0" xfId="0" applyNumberFormat="1" applyFont="1" applyFill="1" applyBorder="1" applyAlignment="1">
      <x:alignment vertical="center" wrapText="1"/>
    </x:xf>
    <x:xf numFmtId="0" fontId="15" fillId="139" borderId="0" xfId="0" applyNumberFormat="1" applyFont="1" applyFill="1" applyBorder="1" applyAlignment="1">
      <x:alignment vertical="center" wrapText="1"/>
    </x:xf>
    <x:xf numFmtId="0" fontId="34" fillId="139" borderId="0" xfId="0" applyNumberFormat="1" applyFont="1" applyFill="1" applyBorder="1" applyAlignment="1">
      <x:alignment vertical="center" wrapText="1"/>
    </x:xf>
    <x:xf numFmtId="0" fontId="13" fillId="140" borderId="0" xfId="0" applyNumberFormat="1" applyFont="1" applyFill="1" applyBorder="1" applyAlignment="1">
      <x:alignment vertical="center" wrapText="1"/>
    </x:xf>
    <x:xf numFmtId="0" fontId="32" fillId="140" borderId="0" xfId="0" applyNumberFormat="1" applyFont="1" applyFill="1" applyBorder="1" applyAlignment="1">
      <x:alignment vertical="center" wrapText="1"/>
    </x:xf>
    <x:xf numFmtId="0" fontId="32" fillId="6" borderId="0" xfId="0" applyNumberFormat="1" applyFont="1" applyFill="1" applyBorder="1"/>
    <x:xf numFmtId="0" fontId="32" fillId="5" borderId="0" xfId="0" applyNumberFormat="1" applyFont="1" applyFill="1" applyBorder="1" applyAlignment="1">
      <x:alignment wrapText="1"/>
    </x:xf>
    <x:xf numFmtId="0" fontId="32" fillId="6" borderId="0" xfId="0" applyNumberFormat="1" applyFont="1" applyFill="1" applyBorder="1" applyAlignment="1">
      <x:alignment wrapText="1"/>
    </x:xf>
    <x:xf numFmtId="0" fontId="32" fillId="6" borderId="0" xfId="0" applyNumberFormat="1" applyFont="1" applyFill="1" applyBorder="1" applyAlignment="1">
      <x:alignment vertical="center" wrapText="1"/>
    </x:xf>
    <x:xf numFmtId="0" fontId="32" fillId="5" borderId="0" xfId="0" applyNumberFormat="1" applyFont="1" applyFill="1" applyBorder="1" applyAlignment="1">
      <x:alignment vertical="center" wrapText="1"/>
    </x:xf>
    <x:xf numFmtId="0" fontId="8" fillId="139" borderId="0" xfId="0" applyNumberFormat="1" applyFont="1" applyFill="1" applyBorder="1" applyAlignment="1">
      <x:alignment vertical="center" wrapText="1"/>
    </x:xf>
    <x:xf numFmtId="0" fontId="30" fillId="141" borderId="0" xfId="0" applyNumberFormat="1" applyFont="1" applyFill="1" applyBorder="1" applyAlignment="1">
      <x:alignment wrapText="1"/>
    </x:xf>
    <x:xf numFmtId="0" fontId="35" fillId="141" borderId="0" xfId="0" applyNumberFormat="1" applyFont="1" applyFill="1" applyBorder="1" applyAlignment="1">
      <x:alignment wrapText="1"/>
    </x:xf>
    <x:xf numFmtId="0" fontId="35" fillId="141" borderId="0" xfId="0" applyNumberFormat="1" applyFont="1" applyFill="1" applyBorder="1" applyAlignment="1">
      <x:alignment vertical="center" wrapText="1"/>
    </x:xf>
    <x:xf numFmtId="0" fontId="32" fillId="25" borderId="0" xfId="0" applyNumberFormat="1" applyFont="1" applyFill="1" applyBorder="1"/>
    <x:xf numFmtId="0" fontId="32" fillId="12" borderId="0" xfId="0" applyNumberFormat="1" applyFont="1" applyFill="1" applyBorder="1" applyAlignment="1">
      <x:alignment vertical="center" wrapText="1"/>
    </x:xf>
    <x:xf numFmtId="0" fontId="32" fillId="25" borderId="0" xfId="0" applyNumberFormat="1" applyFont="1" applyFill="1" applyBorder="1" applyAlignment="1">
      <x:alignment wrapText="1"/>
    </x:xf>
    <x:xf numFmtId="0" fontId="20" fillId="142" borderId="0" xfId="0" applyNumberFormat="1" applyFont="1" applyFill="1" applyBorder="1" applyAlignment="1">
      <x:alignment horizontal="left" vertical="center"/>
    </x:xf>
    <x:xf numFmtId="0" fontId="0" fillId="142" borderId="0" xfId="0" applyNumberFormat="1" applyFont="1" applyFill="1" applyBorder="1"/>
    <x:xf numFmtId="0" fontId="4" fillId="142" borderId="0" xfId="0" applyNumberFormat="1" applyFont="1" applyFill="1" applyBorder="1" applyAlignment="1">
      <x:alignment vertical="center"/>
    </x:xf>
    <x:xf numFmtId="0" fontId="3" fillId="142" borderId="0" xfId="0" applyNumberFormat="1" applyFont="1" applyFill="1" applyBorder="1" applyAlignment="1">
      <x:alignment vertical="center"/>
    </x:xf>
    <x:xf numFmtId="0" fontId="8" fillId="142" borderId="0" xfId="0" applyNumberFormat="1" applyFont="1" applyFill="1" applyBorder="1" applyAlignment="1">
      <x:alignment vertical="center"/>
    </x:xf>
    <x:xf numFmtId="0" fontId="21" fillId="142" borderId="0" xfId="0" applyNumberFormat="1" applyFont="1" applyFill="1" applyBorder="1" applyAlignment="1">
      <x:alignment horizontal="center" vertical="center"/>
    </x:xf>
    <x:xf numFmtId="0" fontId="22" fillId="142" borderId="0" xfId="0" applyNumberFormat="1" applyFont="1" applyFill="1" applyBorder="1" applyAlignment="1">
      <x:alignment vertical="center"/>
    </x:xf>
    <x:xf numFmtId="0" fontId="13" fillId="142" borderId="0" xfId="0" applyNumberFormat="1" applyFont="1" applyFill="1" applyBorder="1" applyAlignment="1">
      <x:alignment vertical="center" wrapText="1"/>
    </x:xf>
    <x:xf numFmtId="0" fontId="13" fillId="142" borderId="0" xfId="0" applyNumberFormat="1" applyFont="1" applyFill="1" applyBorder="1" applyAlignment="1">
      <x:alignment vertical="center"/>
    </x:xf>
    <x:xf numFmtId="0" fontId="22" fillId="142" borderId="0" xfId="0" applyNumberFormat="1" applyFont="1" applyFill="1" applyBorder="1" applyAlignment="1">
      <x:alignment vertical="center" wrapText="1"/>
    </x:xf>
    <x:xf numFmtId="0" fontId="23" fillId="142" borderId="0" xfId="0" applyNumberFormat="1" applyFont="1" applyFill="1" applyBorder="1" applyAlignment="1">
      <x:alignment vertical="center"/>
    </x:xf>
    <x:xf numFmtId="0" fontId="1" fillId="142" borderId="0" xfId="0" applyNumberFormat="1" applyFont="1" applyFill="1" applyBorder="1"/>
    <x:xf numFmtId="200" fontId="17" fillId="142" borderId="0" xfId="0" applyNumberFormat="1" applyFont="1" applyFill="1" applyBorder="1" applyAlignment="1">
      <x:alignment vertical="center"/>
    </x:xf>
    <x:xf numFmtId="200" fontId="8" fillId="142" borderId="0" xfId="0" applyNumberFormat="1" applyFont="1" applyFill="1" applyBorder="1" applyAlignment="1">
      <x:alignment vertical="center"/>
    </x:xf>
    <x:xf numFmtId="0" fontId="24" fillId="142" borderId="0" xfId="0" applyNumberFormat="1" applyFont="1" applyFill="1" applyBorder="1" applyAlignment="1">
      <x:alignment vertical="center"/>
    </x:xf>
    <x:xf numFmtId="200" fontId="24" fillId="142" borderId="0" xfId="0" applyNumberFormat="1" applyFont="1" applyFill="1" applyBorder="1" applyAlignment="1">
      <x:alignment vertical="center"/>
    </x:xf>
    <x:xf numFmtId="0" fontId="17" fillId="142" borderId="0" xfId="0" applyNumberFormat="1" applyFont="1" applyFill="1" applyBorder="1" applyAlignment="1">
      <x:alignment vertical="center"/>
    </x:xf>
    <x:xf numFmtId="0" fontId="25" fillId="142" borderId="0" xfId="0" applyNumberFormat="1" applyFont="1" applyFill="1" applyBorder="1" applyAlignment="1">
      <x:alignment vertical="center" wrapText="1"/>
    </x:xf>
    <x:xf numFmtId="0" fontId="26" fillId="142" borderId="0" xfId="0" applyNumberFormat="1" applyFont="1" applyFill="1" applyBorder="1" applyAlignment="1">
      <x:alignment vertical="center" wrapText="1"/>
    </x:xf>
    <x:xf numFmtId="0" fontId="6" fillId="142" borderId="0" xfId="0" applyNumberFormat="1" applyFont="1" applyFill="1" applyBorder="1" applyAlignment="1">
      <x:alignment vertical="center" wrapText="1"/>
    </x:xf>
    <x:xf numFmtId="0" fontId="20" fillId="139" borderId="0" xfId="0" applyNumberFormat="1" applyFont="1" applyFill="1" applyBorder="1" applyAlignment="1">
      <x:alignment horizontal="left" vertical="center"/>
    </x:xf>
    <x:xf numFmtId="0" fontId="0" fillId="139" borderId="0" xfId="0" applyNumberFormat="1" applyFont="1" applyFill="1" applyBorder="1"/>
    <x:xf numFmtId="0" fontId="4" fillId="139" borderId="0" xfId="0" applyNumberFormat="1" applyFont="1" applyFill="1" applyBorder="1" applyAlignment="1">
      <x:alignment vertical="center"/>
    </x:xf>
    <x:xf numFmtId="0" fontId="36" fillId="139" borderId="0" xfId="0" applyNumberFormat="1" applyFont="1" applyFill="1" applyBorder="1" applyAlignment="1">
      <x:alignment horizontal="left" vertical="center"/>
    </x:xf>
    <x:xf numFmtId="0" fontId="36" fillId="139" borderId="0" xfId="0" applyNumberFormat="1" applyFont="1" applyFill="1" applyBorder="1"/>
    <x:xf numFmtId="0" fontId="36" fillId="139" borderId="0" xfId="0" applyNumberFormat="1" applyFont="1" applyFill="1" applyBorder="1" applyAlignment="1">
      <x:alignment vertical="center"/>
    </x:xf>
    <x:xf numFmtId="0" fontId="36" fillId="139" borderId="0" xfId="0" applyNumberFormat="1" applyFont="1" applyFill="1" applyBorder="1" applyAlignment="1">
      <x:alignment horizontal="left"/>
    </x:xf>
    <x:xf numFmtId="0" fontId="3" fillId="143" borderId="0" xfId="0" applyNumberFormat="1" applyFont="1" applyFill="1" applyBorder="1" applyAlignment="1">
      <x:alignment vertical="center"/>
    </x:xf>
    <x:xf numFmtId="0" fontId="0" fillId="143" borderId="0" xfId="0" applyNumberFormat="1" applyFont="1" applyFill="1" applyBorder="1"/>
    <x:xf numFmtId="0" fontId="33" fillId="143" borderId="0" xfId="0" applyNumberFormat="1" applyFont="1" applyFill="1" applyBorder="1" applyAlignment="1">
      <x:alignment vertical="center"/>
    </x:xf>
    <x:xf numFmtId="0" fontId="33" fillId="143" borderId="0" xfId="0" applyNumberFormat="1" applyFont="1" applyFill="1" applyBorder="1"/>
    <x:xf numFmtId="0" fontId="37" fillId="142" borderId="0" xfId="0" applyNumberFormat="1" applyFont="1" applyFill="1" applyBorder="1" applyAlignment="1">
      <x:alignment vertical="center"/>
    </x:xf>
    <x:xf numFmtId="0" fontId="37" fillId="142" borderId="0" xfId="0" applyNumberFormat="1" applyFont="1" applyFill="1" applyBorder="1"/>
    <x:xf numFmtId="0" fontId="13" fillId="138" borderId="0" xfId="0" applyNumberFormat="1" applyFont="1" applyFill="1" applyBorder="1" applyAlignment="1">
      <x:alignment vertical="center" wrapText="1"/>
    </x:xf>
    <x:xf numFmtId="0" fontId="13" fillId="138" borderId="0" xfId="0" applyNumberFormat="1" applyFont="1" applyFill="1" applyBorder="1" applyAlignment="1">
      <x:alignment vertical="center"/>
    </x:xf>
    <x:xf numFmtId="0" fontId="22" fillId="138" borderId="0" xfId="0" applyNumberFormat="1" applyFont="1" applyFill="1" applyBorder="1" applyAlignment="1">
      <x:alignment vertical="center" wrapText="1"/>
    </x:xf>
    <x:xf numFmtId="0" fontId="22" fillId="138" borderId="0" xfId="0" applyNumberFormat="1" applyFont="1" applyFill="1" applyBorder="1" applyAlignment="1">
      <x:alignment vertical="center"/>
    </x:xf>
    <x:xf numFmtId="0" fontId="3" fillId="138" borderId="0" xfId="0" applyNumberFormat="1" applyFont="1" applyFill="1" applyBorder="1" applyAlignment="1">
      <x:alignment vertical="center"/>
    </x:xf>
    <x:xf numFmtId="0" fontId="38" fillId="138" borderId="0" xfId="0" applyNumberFormat="1" applyFont="1" applyFill="1" applyBorder="1" applyAlignment="1">
      <x:alignment vertical="center" wrapText="1"/>
    </x:xf>
    <x:xf numFmtId="0" fontId="38" fillId="138" borderId="0" xfId="0" applyNumberFormat="1" applyFont="1" applyFill="1" applyBorder="1" applyAlignment="1">
      <x:alignment vertical="center"/>
    </x:xf>
    <x:xf numFmtId="0" fontId="0" fillId="138" borderId="0" xfId="0" applyNumberFormat="1" applyFont="1" applyFill="1" applyBorder="1"/>
    <x:xf numFmtId="0" fontId="39" fillId="138" borderId="0" xfId="0" applyNumberFormat="1" applyFont="1" applyFill="1" applyBorder="1" applyAlignment="1">
      <x:alignment vertical="center"/>
    </x:xf>
    <x:xf numFmtId="0" fontId="39" fillId="138" borderId="0" xfId="0" applyNumberFormat="1" applyFont="1" applyFill="1" applyBorder="1"/>
    <x:xf numFmtId="0" fontId="40" fillId="138" borderId="0" xfId="0" applyNumberFormat="1" applyFont="1" applyFill="1" applyBorder="1" applyAlignment="1">
      <x:alignment vertical="center"/>
    </x:xf>
    <x:xf numFmtId="0" fontId="39" fillId="138" borderId="0" xfId="0" applyNumberFormat="1" applyFont="1" applyFill="1" applyBorder="1" applyAlignment="1">
      <x:alignment vertical="center" wrapText="1"/>
    </x:xf>
    <x:xf numFmtId="0" fontId="39" fillId="138" borderId="0" xfId="0" applyNumberFormat="1" applyFont="1" applyFill="1" applyBorder="1" applyAlignment="1">
      <x:alignment wrapText="1"/>
    </x:xf>
    <x:xf numFmtId="0" fontId="40" fillId="138" borderId="0" xfId="0" applyNumberFormat="1" applyFont="1" applyFill="1" applyBorder="1" applyAlignment="1">
      <x:alignment vertical="center" wrapText="1"/>
    </x:xf>
    <x:xf numFmtId="0" fontId="22" fillId="139" borderId="0" xfId="0" applyNumberFormat="1" applyFont="1" applyFill="1" applyBorder="1" applyAlignment="1">
      <x:alignment vertical="center" wrapText="1"/>
    </x:xf>
    <x:xf numFmtId="0" fontId="22" fillId="139" borderId="0" xfId="0" applyNumberFormat="1" applyFont="1" applyFill="1" applyBorder="1" applyAlignment="1">
      <x:alignment vertical="center"/>
    </x:xf>
    <x:xf numFmtId="0" fontId="3" fillId="139" borderId="0" xfId="0" applyNumberFormat="1" applyFont="1" applyFill="1" applyBorder="1" applyAlignment="1">
      <x:alignment vertical="center"/>
    </x:xf>
    <x:xf numFmtId="0" fontId="41" fillId="139" borderId="0" xfId="0" applyNumberFormat="1" applyFont="1" applyFill="1" applyBorder="1" applyAlignment="1">
      <x:alignment vertical="center" wrapText="1"/>
    </x:xf>
    <x:xf numFmtId="0" fontId="41" fillId="139" borderId="0" xfId="0" applyNumberFormat="1" applyFont="1" applyFill="1" applyBorder="1" applyAlignment="1">
      <x:alignment vertical="center"/>
    </x:xf>
    <x:xf numFmtId="0" fontId="41" fillId="139" borderId="0" xfId="0" applyNumberFormat="1" applyFont="1" applyFill="1" applyBorder="1"/>
    <x:xf numFmtId="0" fontId="13" fillId="140" borderId="0" xfId="0" applyNumberFormat="1" applyFont="1" applyFill="1" applyBorder="1" applyAlignment="1">
      <x:alignment vertical="center"/>
    </x:xf>
    <x:xf numFmtId="0" fontId="22" fillId="140" borderId="0" xfId="0" applyNumberFormat="1" applyFont="1" applyFill="1" applyBorder="1" applyAlignment="1">
      <x:alignment vertical="center" wrapText="1"/>
    </x:xf>
    <x:xf numFmtId="0" fontId="22" fillId="140" borderId="0" xfId="0" applyNumberFormat="1" applyFont="1" applyFill="1" applyBorder="1" applyAlignment="1">
      <x:alignment vertical="center"/>
    </x:xf>
    <x:xf numFmtId="0" fontId="3" fillId="140" borderId="0" xfId="0" applyNumberFormat="1" applyFont="1" applyFill="1" applyBorder="1" applyAlignment="1">
      <x:alignment vertical="center"/>
    </x:xf>
    <x:xf numFmtId="0" fontId="42" fillId="140" borderId="0" xfId="0" applyNumberFormat="1" applyFont="1" applyFill="1" applyBorder="1" applyAlignment="1">
      <x:alignment vertical="center" wrapText="1"/>
    </x:xf>
    <x:xf numFmtId="0" fontId="42" fillId="140" borderId="0" xfId="0" applyNumberFormat="1" applyFont="1" applyFill="1" applyBorder="1" applyAlignment="1">
      <x:alignment vertical="center"/>
    </x:xf>
    <x:xf numFmtId="0" fontId="0" fillId="140" borderId="0" xfId="0" applyNumberFormat="1" applyFont="1" applyFill="1" applyBorder="1"/>
    <x:xf numFmtId="0" fontId="42" fillId="140" borderId="0" xfId="0" applyNumberFormat="1" applyFont="1" applyFill="1" applyBorder="1"/>
    <x:xf numFmtId="0" fontId="23" fillId="139" borderId="0" xfId="0" applyNumberFormat="1" applyFont="1" applyFill="1" applyBorder="1" applyAlignment="1">
      <x:alignment vertical="center"/>
    </x:xf>
    <x:xf numFmtId="0" fontId="13" fillId="139" borderId="0" xfId="0" applyNumberFormat="1" applyFont="1" applyFill="1" applyBorder="1" applyAlignment="1">
      <x:alignment vertical="center"/>
    </x:xf>
    <x:xf numFmtId="200" fontId="17" fillId="139" borderId="0" xfId="0" applyNumberFormat="1" applyFont="1" applyFill="1" applyBorder="1" applyAlignment="1">
      <x:alignment vertical="center"/>
    </x:xf>
    <x:xf numFmtId="0" fontId="1" fillId="139" borderId="0" xfId="0" applyNumberFormat="1" applyFont="1" applyFill="1" applyBorder="1"/>
    <x:xf numFmtId="0" fontId="43" fillId="139" borderId="0" xfId="0" applyNumberFormat="1" applyFont="1" applyFill="1" applyBorder="1" applyAlignment="1">
      <x:alignment vertical="center"/>
    </x:xf>
    <x:xf numFmtId="200" fontId="43" fillId="139" borderId="0" xfId="0" applyNumberFormat="1" applyFont="1" applyFill="1" applyBorder="1" applyAlignment="1">
      <x:alignment vertical="center"/>
    </x:xf>
    <x:xf numFmtId="0" fontId="43" fillId="139" borderId="0" xfId="0" applyNumberFormat="1" applyFont="1" applyFill="1" applyBorder="1"/>
    <x:xf numFmtId="0" fontId="43" fillId="139" borderId="0" xfId="0" applyNumberFormat="1" applyFont="1" applyFill="1" applyBorder="1" applyAlignment="1">
      <x:alignment vertical="center" wrapText="1"/>
    </x:xf>
    <x:xf numFmtId="200" fontId="43" fillId="139" borderId="0" xfId="0" applyNumberFormat="1" applyFont="1" applyFill="1" applyBorder="1" applyAlignment="1">
      <x:alignment vertical="center" wrapText="1"/>
    </x:xf>
    <x:xf numFmtId="0" fontId="43" fillId="139" borderId="0" xfId="0" applyNumberFormat="1" applyFont="1" applyFill="1" applyBorder="1" applyAlignment="1">
      <x:alignment wrapText="1"/>
    </x:xf>
    <x:xf numFmtId="0" fontId="43" fillId="139" borderId="0" xfId="0" applyNumberFormat="1" applyFont="1" applyFill="1" applyBorder="1" applyAlignment="1">
      <x:alignment horizontal="left" vertical="center" wrapText="1"/>
    </x:xf>
    <x:xf numFmtId="200" fontId="43" fillId="139" borderId="0" xfId="0" applyNumberFormat="1" applyFont="1" applyFill="1" applyBorder="1" applyAlignment="1">
      <x:alignment horizontal="left" vertical="center" wrapText="1"/>
    </x:xf>
    <x:xf numFmtId="0" fontId="43" fillId="139" borderId="0" xfId="0" applyNumberFormat="1" applyFont="1" applyFill="1" applyBorder="1" applyAlignment="1">
      <x:alignment horizontal="left" wrapText="1"/>
    </x:xf>
    <x:xf numFmtId="200" fontId="24" fillId="138" borderId="0" xfId="0" applyNumberFormat="1" applyFont="1" applyFill="1" applyBorder="1" applyAlignment="1">
      <x:alignment vertical="center"/>
    </x:xf>
    <x:xf numFmtId="0" fontId="17" fillId="138" borderId="0" xfId="0" applyNumberFormat="1" applyFont="1" applyFill="1" applyBorder="1" applyAlignment="1">
      <x:alignment vertical="center"/>
    </x:xf>
    <x:xf numFmtId="200" fontId="44" fillId="138" borderId="0" xfId="0" applyNumberFormat="1" applyFont="1" applyFill="1" applyBorder="1" applyAlignment="1">
      <x:alignment vertical="center"/>
    </x:xf>
    <x:xf numFmtId="0" fontId="44" fillId="138" borderId="0" xfId="0" applyNumberFormat="1" applyFont="1" applyFill="1" applyBorder="1" applyAlignment="1">
      <x:alignment vertical="center"/>
    </x:xf>
    <x:xf numFmtId="200" fontId="44" fillId="138" borderId="0" xfId="0" applyNumberFormat="1" applyFont="1" applyFill="1" applyBorder="1" applyAlignment="1">
      <x:alignment vertical="center" wrapText="1"/>
    </x:xf>
    <x:xf numFmtId="0" fontId="44" fillId="138" borderId="0" xfId="0" applyNumberFormat="1" applyFont="1" applyFill="1" applyBorder="1" applyAlignment="1">
      <x:alignment vertical="center" wrapText="1"/>
    </x:xf>
    <x:xf numFmtId="200" fontId="44" fillId="138" borderId="0" xfId="0" applyNumberFormat="1" applyFont="1" applyFill="1" applyBorder="1" applyAlignment="1">
      <x:alignment horizontal="left" vertical="center" wrapText="1"/>
    </x:xf>
    <x:xf numFmtId="0" fontId="44" fillId="138" borderId="0" xfId="0" applyNumberFormat="1" applyFont="1" applyFill="1" applyBorder="1" applyAlignment="1">
      <x:alignment horizontal="left" vertical="center" wrapText="1"/>
    </x:xf>
    <x:xf numFmtId="0" fontId="24" fillId="138" borderId="0" xfId="0" applyNumberFormat="1" applyFont="1" applyFill="1" applyBorder="1" applyAlignment="1">
      <x:alignment vertical="center"/>
    </x:xf>
    <x:xf numFmtId="0" fontId="25" fillId="138" borderId="0" xfId="0" applyNumberFormat="1" applyFont="1" applyFill="1" applyBorder="1" applyAlignment="1">
      <x:alignment vertical="center" wrapText="1"/>
    </x:xf>
    <x:xf numFmtId="0" fontId="44" fillId="138" borderId="0" xfId="0" applyNumberFormat="1" applyFont="1" applyFill="1" applyBorder="1"/>
    <x:xf numFmtId="0" fontId="44" fillId="138" borderId="0" xfId="0" applyNumberFormat="1" applyFont="1" applyFill="1" applyBorder="1" applyAlignment="1">
      <x:alignment wrapText="1"/>
    </x:xf>
    <x:xf numFmtId="0" fontId="44" fillId="138" borderId="0" xfId="0" applyNumberFormat="1" applyFont="1" applyFill="1" applyBorder="1" applyAlignment="1">
      <x:alignment horizontal="left" wrapText="1"/>
    </x:xf>
    <x:xf numFmtId="0" fontId="26" fillId="138" borderId="0" xfId="0" applyNumberFormat="1" applyFont="1" applyFill="1" applyBorder="1" applyAlignment="1">
      <x:alignment vertical="center" wrapText="1"/>
    </x:xf>
    <x:xf numFmtId="0" fontId="1" fillId="144" borderId="0" xfId="0" applyNumberFormat="1" applyFont="1" applyFill="1" applyBorder="1"/>
    <x:xf numFmtId="0" fontId="0" fillId="144" borderId="0" xfId="0" applyNumberFormat="1" applyFont="1" applyFill="1" applyBorder="1"/>
    <x:xf numFmtId="0" fontId="45" fillId="144" borderId="0" xfId="0" applyNumberFormat="1" applyFont="1" applyFill="1" applyBorder="1"/>
    <x:xf numFmtId="0" fontId="45" fillId="144" borderId="0" xfId="0" applyNumberFormat="1" applyFont="1" applyFill="1" applyBorder="1" applyAlignment="1">
      <x:alignment wrapText="1"/>
    </x:xf>
    <x:xf numFmtId="0" fontId="45" fillId="144" borderId="0" xfId="0" applyNumberFormat="1" applyFont="1" applyFill="1" applyBorder="1" applyAlignment="1">
      <x:alignment vertical="center" wrapText="1"/>
    </x:xf>
    <x:xf numFmtId="0" fontId="34" fillId="139" borderId="0" xfId="0" applyNumberFormat="1" applyFont="1" applyFill="1" applyBorder="1"/>
    <x:xf numFmtId="0" fontId="34" fillId="139" borderId="0" xfId="0" applyNumberFormat="1" applyFont="1" applyFill="1" applyBorder="1" applyAlignment="1">
      <x:alignment vertical="center"/>
    </x:xf>
    <x:xf numFmtId="0" fontId="46" fillId="138" borderId="0" xfId="0" applyNumberFormat="1" applyFont="1" applyFill="1" applyBorder="1"/>
    <x:xf numFmtId="0" fontId="46" fillId="138" borderId="0" xfId="0" applyNumberFormat="1" applyFont="1" applyFill="1" applyBorder="1" applyAlignment="1">
      <x:alignment vertical="center"/>
    </x:xf>
    <x:xf numFmtId="0" fontId="2" fillId="139" borderId="0" xfId="0" applyNumberFormat="1" applyFont="1" applyFill="1" applyBorder="1" applyAlignment="1">
      <x:alignment vertical="center" wrapText="1"/>
    </x:xf>
    <x:xf numFmtId="0" fontId="2" fillId="139" borderId="0" xfId="0" applyNumberFormat="1" applyFont="1" applyFill="1" applyBorder="1" applyAlignment="1">
      <x:alignment vertical="center"/>
    </x:xf>
    <x:xf numFmtId="0" fontId="47" fillId="139" borderId="0" xfId="0" applyNumberFormat="1" applyFont="1" applyFill="1" applyBorder="1" applyAlignment="1">
      <x:alignment vertical="center" wrapText="1"/>
    </x:xf>
    <x:xf numFmtId="0" fontId="47" fillId="139" borderId="0" xfId="0" applyNumberFormat="1" applyFont="1" applyFill="1" applyBorder="1" applyAlignment="1">
      <x:alignment vertical="center"/>
    </x:xf>
    <x:xf numFmtId="0" fontId="47" fillId="139" borderId="0" xfId="0" applyNumberFormat="1" applyFont="1" applyFill="1" applyBorder="1"/>
    <x:xf numFmtId="0" fontId="47" fillId="139" borderId="0" xfId="0" applyNumberFormat="1" applyFont="1" applyFill="1" applyBorder="1" applyAlignment="1">
      <x:alignment wrapText="1"/>
    </x:xf>
    <x:xf numFmtId="0" fontId="48" fillId="0" borderId="0" xfId="0" applyNumberFormat="1" applyFont="1" applyFill="1" applyBorder="1" applyAlignment="1">
      <x:alignment wrapText="1"/>
    </x:xf>
    <x:xf numFmtId="0" fontId="48" fillId="6" borderId="0" xfId="0" applyNumberFormat="1" applyFont="1" applyFill="1" applyBorder="1" applyAlignment="1">
      <x:alignment wrapText="1"/>
    </x:xf>
    <x:xf numFmtId="201" fontId="48" fillId="6" borderId="0" xfId="0" applyNumberFormat="1" applyFont="1" applyFill="1" applyBorder="1" applyAlignment="1">
      <x:alignment wrapText="1"/>
    </x:xf>
    <x:xf numFmtId="200" fontId="48" fillId="6" borderId="0" xfId="0" applyNumberFormat="1" applyFont="1" applyFill="1" applyBorder="1" applyAlignment="1">
      <x:alignment wrapText="1"/>
    </x:xf>
    <x:xf numFmtId="0" fontId="49" fillId="13" borderId="0" xfId="0" applyNumberFormat="1" applyFont="1" applyFill="1" applyBorder="1" applyAlignment="1">
      <x:alignment vertical="center" wrapText="1"/>
    </x:xf>
    <x:xf numFmtId="204" fontId="48" fillId="6" borderId="0" xfId="0" applyNumberFormat="1" applyFont="1" applyFill="1" applyBorder="1" applyAlignment="1">
      <x:alignment wrapText="1"/>
    </x:xf>
    <x:xf numFmtId="202" fontId="48" fillId="6" borderId="0" xfId="0" applyNumberFormat="1" applyFont="1" applyFill="1" applyBorder="1" applyAlignment="1">
      <x:alignment wrapText="1"/>
    </x:xf>
    <x:xf numFmtId="0" fontId="48" fillId="144" borderId="0" xfId="0" applyNumberFormat="1" applyFont="1" applyFill="1" applyBorder="1" applyAlignment="1">
      <x:alignment wrapText="1"/>
    </x:xf>
    <x:xf numFmtId="201" fontId="48" fillId="144" borderId="0" xfId="0" applyNumberFormat="1" applyFont="1" applyFill="1" applyBorder="1" applyAlignment="1">
      <x:alignment wrapText="1"/>
    </x:xf>
    <x:xf numFmtId="200" fontId="48" fillId="144" borderId="0" xfId="0" applyNumberFormat="1" applyFont="1" applyFill="1" applyBorder="1" applyAlignment="1">
      <x:alignment wrapText="1"/>
    </x:xf>
    <x:xf numFmtId="204" fontId="48" fillId="144" borderId="0" xfId="0" applyNumberFormat="1" applyFont="1" applyFill="1" applyBorder="1" applyAlignment="1">
      <x:alignment wrapText="1"/>
    </x:xf>
    <x:xf numFmtId="202" fontId="48" fillId="144" borderId="0" xfId="0" applyNumberFormat="1" applyFont="1" applyFill="1" applyBorder="1" applyAlignment="1">
      <x:alignment wrapText="1"/>
    </x:xf>
    <x:xf numFmtId="0" fontId="48" fillId="139" borderId="0" xfId="0" applyNumberFormat="1" applyFont="1" applyFill="1" applyBorder="1" applyAlignment="1">
      <x:alignment wrapText="1"/>
    </x:xf>
    <x:xf numFmtId="0" fontId="49" fillId="139" borderId="0" xfId="0" applyNumberFormat="1" applyFont="1" applyFill="1" applyBorder="1" applyAlignment="1">
      <x:alignment vertical="center" wrapText="1"/>
    </x:xf>
    <x:xf numFmtId="0" fontId="34" fillId="139" borderId="0" xfId="0" applyNumberFormat="1" applyFont="1" applyFill="1" applyBorder="1" applyAlignment="1">
      <x:alignment wrapText="1"/>
    </x:xf>
    <x:xf numFmtId="0" fontId="48" fillId="12" borderId="0" xfId="0" applyNumberFormat="1" applyFont="1" applyFill="1" applyBorder="1" applyAlignment="1">
      <x:alignment vertical="center" wrapText="1"/>
    </x:xf>
    <x:xf numFmtId="0" fontId="48" fillId="140" borderId="0" xfId="0" applyNumberFormat="1" applyFont="1" applyFill="1" applyBorder="1" applyAlignment="1">
      <x:alignment vertical="center" wrapText="1"/>
    </x:xf>
    <x:xf numFmtId="0" fontId="50" fillId="139" borderId="0" xfId="0" applyNumberFormat="1" applyFont="1" applyFill="1" applyBorder="1"/>
    <x:xf numFmtId="0" fontId="51" fillId="139" borderId="0" xfId="0" applyNumberFormat="1" applyFont="1" applyFill="1" applyBorder="1" applyAlignment="1">
      <x:alignment vertical="center" wrapText="1"/>
    </x:xf>
    <x:xf numFmtId="0" fontId="47" fillId="142" borderId="0" xfId="0" applyNumberFormat="1" applyFont="1" applyFill="1" applyBorder="1" applyAlignment="1">
      <x:alignment vertical="center" wrapText="1"/>
    </x:xf>
    <x:xf numFmtId="0" fontId="4" fillId="137" borderId="0" xfId="0" applyNumberFormat="1" applyFont="1" applyFill="1" applyBorder="1" applyAlignment="1">
      <x:alignment vertical="center" wrapText="1"/>
    </x:xf>
    <x:xf numFmtId="0" fontId="34" fillId="137" borderId="0" xfId="0" applyNumberFormat="1" applyFont="1" applyFill="1" applyBorder="1" applyAlignment="1">
      <x:alignment vertical="center" wrapText="1"/>
    </x:xf>
    <x:xf numFmtId="0" fontId="1" fillId="139" borderId="0" xfId="0" applyNumberFormat="1" applyFont="1" applyFill="1" applyBorder="1" applyAlignment="1">
      <x:alignment wrapText="1"/>
    </x:xf>
    <x:xf numFmtId="0" fontId="0" fillId="139" borderId="0" xfId="0" applyNumberFormat="1" applyFont="1" applyFill="1" applyBorder="1" applyAlignment="1">
      <x:alignment wrapText="1"/>
    </x:xf>
    <x:xf numFmtId="0" fontId="7" fillId="144" borderId="0" xfId="0" applyNumberFormat="1" applyFont="1" applyFill="1" applyBorder="1" applyAlignment="1">
      <x:alignment wrapText="1"/>
    </x:xf>
    <x:xf numFmtId="0" fontId="48" fillId="144" borderId="0" xfId="0" applyNumberFormat="1" applyFont="1" applyFill="1" applyBorder="1" applyAlignment="1">
      <x:alignment vertical="center" wrapText="1"/>
    </x:xf>
    <x:xf numFmtId="201" fontId="48" fillId="144" borderId="0" xfId="0" applyNumberFormat="1" applyFont="1" applyFill="1" applyBorder="1" applyAlignment="1">
      <x:alignment vertical="center" wrapText="1"/>
    </x:xf>
    <x:xf numFmtId="200" fontId="48" fillId="144" borderId="0" xfId="0" applyNumberFormat="1" applyFont="1" applyFill="1" applyBorder="1" applyAlignment="1">
      <x:alignment vertical="center" wrapText="1"/>
    </x:xf>
    <x:xf numFmtId="204" fontId="48" fillId="144" borderId="0" xfId="0" applyNumberFormat="1" applyFont="1" applyFill="1" applyBorder="1" applyAlignment="1">
      <x:alignment vertical="center" wrapText="1"/>
    </x:xf>
    <x:xf numFmtId="202" fontId="48" fillId="144" borderId="0" xfId="0" applyNumberFormat="1" applyFont="1" applyFill="1" applyBorder="1" applyAlignment="1">
      <x:alignment vertical="center" wrapText="1"/>
    </x:xf>
    <x:xf numFmtId="0" fontId="15" fillId="13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eda8406d18454b" /><Relationship Type="http://schemas.openxmlformats.org/officeDocument/2006/relationships/theme" Target="/xl/theme/theme1.xml" Id="Rd389015f3e9b4280" /><Relationship Type="http://schemas.openxmlformats.org/officeDocument/2006/relationships/sharedStrings" Target="/xl/sharedStrings.xml" Id="R26956cd0f8644bd8" /><Relationship Type="http://schemas.openxmlformats.org/officeDocument/2006/relationships/worksheet" Target="/xl/worksheets/sheet1.xml" Id="Rfa0e4e13a78e4411" /><Relationship Type="http://schemas.openxmlformats.org/officeDocument/2006/relationships/worksheet" Target="/xl/worksheets/sheet2.xml" Id="Rdbd244d1ed1c4269" /><Relationship Type="http://schemas.openxmlformats.org/officeDocument/2006/relationships/worksheet" Target="/xl/worksheets/sheet3.xml" Id="Rf737b56da16e41ff" /><Relationship Type="http://schemas.openxmlformats.org/officeDocument/2006/relationships/worksheet" Target="/xl/worksheets/sheet4.xml" Id="Rf2a3eb69225e403b" /><Relationship Type="http://schemas.openxmlformats.org/officeDocument/2006/relationships/worksheet" Target="/xl/worksheets/sheet5.xml" Id="R9afeb4000fba49d1" /><Relationship Type="http://schemas.openxmlformats.org/officeDocument/2006/relationships/worksheet" Target="/xl/worksheets/sheet6.xml" Id="R79ef2fb91ff546d2" /><Relationship Type="http://schemas.openxmlformats.org/officeDocument/2006/relationships/worksheet" Target="/xl/worksheets/sheet7.xml" Id="Rb72d523443984153" /><Relationship Type="http://schemas.openxmlformats.org/officeDocument/2006/relationships/worksheet" Target="/xl/worksheets/sheet8.xml" Id="Rbd45867ae26049c6" /><Relationship Type="http://schemas.openxmlformats.org/officeDocument/2006/relationships/worksheet" Target="/xl/worksheets/sheet9.xml" Id="R6ae098a299374036" /><Relationship Type="http://schemas.openxmlformats.org/officeDocument/2006/relationships/worksheet" Target="/xl/worksheets/sheet10.xml" Id="R1cc06f65bba842a4" /><Relationship Type="http://schemas.openxmlformats.org/officeDocument/2006/relationships/worksheet" Target="/xl/worksheets/sheet11.xml" Id="Rbc380a0fad1d41ee" /><Relationship Type="http://schemas.openxmlformats.org/officeDocument/2006/relationships/worksheet" Target="/xl/worksheets/sheet12.xml" Id="Ra693a7de3e7143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 hidden="0" customWidth="1"/>
    <x:col min="2" max="2" width="18" hidden="0" customWidth="1"/>
    <x:col min="3" max="3" width="18" hidden="0" customWidth="1"/>
    <x:col min="4" max="4" width="18" hidden="0" customWidth="1"/>
    <x:col min="5" max="5" width="18" hidden="0" customWidth="1"/>
    <x:col min="6" max="6" width="18" hidden="0" customWidth="1"/>
    <x:col min="8" max="8" width="3" hidden="0" customWidth="1"/>
    <x:col min="7" max="7" width="18" hidden="0" customWidth="1"/>
  </x:cols>
  <x:sheetData>
    <x:row r="1">
      <x:c r="A1" s="1040"/>
      <x:c r="B1" s="1040"/>
      <x:c r="C1" s="1040"/>
      <x:c r="D1" s="1040"/>
      <x:c r="E1" s="1040"/>
      <x:c r="F1" s="1040"/>
      <x:c r="G1" s="1041"/>
      <x:c r="H1" s="1041"/>
    </x:row>
    <x:row r="2" ht="30" customHeight="1">
      <x:c r="A2" s="1040"/>
      <x:c r="B2" s="1063" t="str">
        <x:v>SOLAR DIMENSION PRO</x:v>
      </x:c>
      <x:c r="C2" s="1063"/>
      <x:c r="D2" s="1063"/>
      <x:c r="E2" s="1063"/>
      <x:c r="F2" s="1063"/>
      <x:c r="G2" s="1063"/>
      <x:c r="H2" s="1041"/>
    </x:row>
    <x:row r="3" ht="23" customHeight="1">
      <x:c r="A3" s="1042"/>
      <x:c r="B3" s="1063"/>
      <x:c r="C3" s="1063"/>
      <x:c r="D3" s="1063"/>
      <x:c r="E3" s="1063"/>
      <x:c r="F3" s="1063"/>
      <x:c r="G3" s="1063"/>
      <x:c r="H3" s="1041"/>
    </x:row>
    <x:row r="4" ht="24" customHeight="1">
      <x:c r="A4" s="1043"/>
      <x:c r="B4" s="1069" t="str">
        <x:v>SÉNÉGAL  /  DIMENSIONNEMENT PHOTOVOLTAÏQUE</x:v>
      </x:c>
      <x:c r="C4" s="1069"/>
      <x:c r="D4" s="1069"/>
      <x:c r="E4" s="1069"/>
      <x:c r="F4" s="1069"/>
      <x:c r="G4" s="1069"/>
      <x:c r="H4" s="1041"/>
    </x:row>
    <x:row r="5">
      <x:c r="A5" s="1044"/>
      <x:c r="B5" s="1044"/>
      <x:c r="C5" s="1044"/>
      <x:c r="D5" s="1044"/>
      <x:c r="E5" s="1044"/>
      <x:c r="F5" s="1044"/>
      <x:c r="G5" s="1041"/>
      <x:c r="H5" s="1041"/>
    </x:row>
    <x:row r="6" ht="24" customHeight="1">
      <x:c r="A6" s="1045"/>
      <x:c r="B6" s="1071" t="str">
        <x:v>VOTRE ESPACE PROJET</x:v>
      </x:c>
      <x:c r="C6" s="1071"/>
      <x:c r="D6" s="1071"/>
      <x:c r="E6" s="1071"/>
      <x:c r="F6" s="1071"/>
      <x:c r="G6" s="1071"/>
      <x:c r="H6" s="1041"/>
    </x:row>
    <x:row r="7" ht="24" customHeight="1">
      <x:c r="A7" s="1045"/>
      <x:c r="B7" s="1078" t="str">
        <x:f>IF('Projet'!B5="","Nouveau projet",'Projet'!B5)</x:f>
        <x:v>DÉMO - à remplacer</x:v>
      </x:c>
      <x:c r="C7" s="1078"/>
      <x:c r="D7" s="1078"/>
      <x:c r="E7" s="1084" t="str">
        <x:f>IF('Projet'!B8="","Site à renseigner",'Projet'!B8)</x:f>
        <x:v>Dakar (coordonnées indicatives)</x:v>
      </x:c>
      <x:c r="F7" s="1084"/>
      <x:c r="G7" s="1084"/>
      <x:c r="H7" s="1041"/>
    </x:row>
    <x:row r="8" ht="24" customHeight="1">
      <x:c r="A8" s="1045"/>
      <x:c r="B8" s="1078"/>
      <x:c r="C8" s="1078"/>
      <x:c r="D8" s="1078"/>
      <x:c r="E8" s="1086"/>
      <x:c r="F8" s="1086"/>
      <x:c r="G8" s="1084"/>
      <x:c r="H8" s="1041"/>
    </x:row>
    <x:row r="9" ht="24" customHeight="1">
      <x:c r="A9" s="1045"/>
      <x:c r="B9" s="1047"/>
      <x:c r="C9" s="1048"/>
      <x:c r="D9" s="1048"/>
      <x:c r="E9" s="1048"/>
      <x:c r="F9" s="1048"/>
      <x:c r="G9" s="1041"/>
      <x:c r="H9" s="1041"/>
    </x:row>
    <x:row r="10" ht="24" customHeight="1">
      <x:c r="A10" s="1045"/>
      <x:c r="B10" s="1090" t="str">
        <x:v>ÉNERGIE JOURNALIÈRE</x:v>
      </x:c>
      <x:c r="C10" s="1091"/>
      <x:c r="D10" s="1091"/>
      <x:c r="E10" s="1091" t="str">
        <x:v>CHAMP PHOTOVOLTAÏQUE REQUIS</x:v>
      </x:c>
      <x:c r="F10" s="1091"/>
      <x:c r="G10" s="1091"/>
      <x:c r="H10" s="1041"/>
    </x:row>
    <x:row r="11" ht="24" customHeight="1">
      <x:c r="A11" s="1045"/>
      <x:c r="B11" s="1097" t="str">
        <x:f>IF('Calculs'!B5="","À saisir",TEXT('Calculs'!B5,"0.00")&amp;" kWh/j")</x:f>
        <x:v>4.55 kWh/j</x:v>
      </x:c>
      <x:c r="C11" s="1098"/>
      <x:c r="D11" s="1098"/>
      <x:c r="E11" s="1098" t="str">
        <x:f>IF('Calculs'!B10="","Climat à saisir",TEXT('Calculs'!B10,"0.00")&amp;" kWp")</x:f>
        <x:v>Climat à saisir</x:v>
      </x:c>
      <x:c r="F11" s="1098"/>
      <x:c r="G11" s="1098"/>
      <x:c r="H11" s="1041"/>
    </x:row>
    <x:row r="12" ht="24" customHeight="1">
      <x:c r="A12" s="1045"/>
      <x:c r="B12" s="1097"/>
      <x:c r="C12" s="1098"/>
      <x:c r="D12" s="1098"/>
      <x:c r="E12" s="1098"/>
      <x:c r="F12" s="1098"/>
      <x:c r="G12" s="1098"/>
      <x:c r="H12" s="1041"/>
    </x:row>
    <x:row r="13" ht="24" customHeight="1">
      <x:c r="A13" s="1045"/>
      <x:c r="B13" s="1048"/>
      <x:c r="C13" s="1048"/>
      <x:c r="D13" s="1048"/>
      <x:c r="E13" s="1048"/>
      <x:c r="F13" s="1048"/>
      <x:c r="G13" s="1041"/>
      <x:c r="H13" s="1041"/>
    </x:row>
    <x:row r="14" ht="24" customHeight="1">
      <x:c r="A14" s="1045"/>
      <x:c r="B14" s="1071" t="str">
        <x:v>PARCOURS DE DIMENSIONNEMENT</x:v>
      </x:c>
      <x:c r="C14" s="1071"/>
      <x:c r="D14" s="1071"/>
      <x:c r="E14" s="1071"/>
      <x:c r="F14" s="1071"/>
      <x:c r="G14" s="1071"/>
      <x:c r="H14" s="1041"/>
    </x:row>
    <x:row r="15" ht="26" customHeight="1">
      <x:c r="A15" s="1045"/>
      <x:c r="B15" s="1111" t="str">
        <x:v>01   Projet
Site, hypothèses et références choisies</x:v>
      </x:c>
      <x:c r="C15" s="1111"/>
      <x:c r="D15" s="1111"/>
      <x:c r="E15" s="1111" t="str">
        <x:v>02   Charges
Appareils, puissances et horaires</x:v>
      </x:c>
      <x:c r="F15" s="1111"/>
      <x:c r="G15" s="1111"/>
      <x:c r="H15" s="1041"/>
    </x:row>
    <x:row r="16" ht="26" customHeight="1">
      <x:c r="A16" s="1051"/>
      <x:c r="B16" s="1112"/>
      <x:c r="C16" s="1111"/>
      <x:c r="D16" s="1111"/>
      <x:c r="E16" s="1111"/>
      <x:c r="F16" s="1111"/>
      <x:c r="G16" s="1111"/>
      <x:c r="H16" s="1041"/>
    </x:row>
    <x:row r="17" ht="28" customHeight="1">
      <x:c r="A17" s="1044"/>
      <x:c r="B17" s="1053"/>
      <x:c r="C17" s="1044"/>
      <x:c r="D17" s="1044"/>
      <x:c r="E17" s="1044"/>
      <x:c r="F17" s="1044"/>
      <x:c r="G17" s="1041"/>
      <x:c r="H17" s="1041"/>
    </x:row>
    <x:row r="18" ht="26" customHeight="1">
      <x:c r="A18" s="1054"/>
      <x:c r="B18" s="1120" t="str">
        <x:v>03   Climat
Irradiation mensuelle du site</x:v>
      </x:c>
      <x:c r="C18" s="1121"/>
      <x:c r="D18" s="1121"/>
      <x:c r="E18" s="1121" t="str">
        <x:v>04   Calculs
Dimensionnement et alertes</x:v>
      </x:c>
      <x:c r="F18" s="1121"/>
      <x:c r="G18" s="1121"/>
      <x:c r="H18" s="1041"/>
    </x:row>
    <x:row r="19" ht="26" customHeight="1">
      <x:c r="A19" s="1056"/>
      <x:c r="B19" s="1121"/>
      <x:c r="C19" s="1121"/>
      <x:c r="D19" s="1121"/>
      <x:c r="E19" s="1121"/>
      <x:c r="F19" s="1121"/>
      <x:c r="G19" s="1121"/>
      <x:c r="H19" s="1041"/>
    </x:row>
    <x:row r="20">
      <x:c r="A20" s="1051"/>
      <x:c r="B20" s="1051"/>
      <x:c r="C20" s="1051"/>
      <x:c r="D20" s="1051"/>
      <x:c r="E20" s="1051"/>
      <x:c r="F20" s="1051"/>
      <x:c r="G20" s="1041"/>
      <x:c r="H20" s="1041"/>
    </x:row>
    <x:row r="21" ht="26" customHeight="1">
      <x:c r="A21" s="1058"/>
      <x:c r="B21" s="1121" t="str">
        <x:v>05   Rapport
Synthèse et impression</x:v>
      </x:c>
      <x:c r="C21" s="1121"/>
      <x:c r="D21" s="1121"/>
      <x:c r="E21" s="1121" t="str">
        <x:v>06   Catalogue
Panneaux, batteries, onduleurs et MPPT</x:v>
      </x:c>
      <x:c r="F21" s="1121"/>
      <x:c r="G21" s="1121"/>
      <x:c r="H21" s="1041"/>
    </x:row>
    <x:row r="22" ht="26" customHeight="1">
      <x:c r="A22" s="1058"/>
      <x:c r="B22" s="1121"/>
      <x:c r="C22" s="1121"/>
      <x:c r="D22" s="1121"/>
      <x:c r="E22" s="1121"/>
      <x:c r="F22" s="1121"/>
      <x:c r="G22" s="1121"/>
      <x:c r="H22" s="1041"/>
    </x:row>
    <x:row r="23">
      <x:c r="A23" s="1059"/>
      <x:c r="B23" s="1059"/>
      <x:c r="C23" s="1059"/>
      <x:c r="D23" s="1059"/>
      <x:c r="E23" s="1059"/>
      <x:c r="F23" s="1059"/>
      <x:c r="G23" s="1041"/>
      <x:c r="H23" s="1041"/>
    </x:row>
    <x:row r="24">
      <x:c r="A24" s="1051"/>
      <x:c r="B24" s="1051"/>
      <x:c r="C24" s="1051"/>
      <x:c r="D24" s="1051"/>
      <x:c r="E24" s="1051"/>
      <x:c r="F24" s="1051"/>
      <x:c r="G24" s="1041"/>
      <x:c r="H24" s="1041"/>
    </x:row>
    <x:row r="25" ht="24" customHeight="1">
      <x:c r="A25" s="1051"/>
      <x:c r="B25" s="1132" t="str">
        <x:v>DÉMARRAGE : renseignez Projet, complétez Charges et Climat, puis vérifiez toutes les alertes de Calculs avant de remettre le Rapport. Pour les règles de saisie et les formules, ouvrez le Guide à la dernière feuille.</x:v>
      </x:c>
      <x:c r="C25" s="1132"/>
      <x:c r="D25" s="1132"/>
      <x:c r="E25" s="1132"/>
      <x:c r="F25" s="1132"/>
      <x:c r="G25" s="1132"/>
      <x:c r="H25" s="1041"/>
    </x:row>
    <x:row r="26" ht="24" customHeight="1">
      <x:c r="A26" s="1041"/>
      <x:c r="B26" s="1132"/>
      <x:c r="C26" s="1132"/>
      <x:c r="D26" s="1132"/>
      <x:c r="E26" s="1132"/>
      <x:c r="F26" s="1132"/>
      <x:c r="G26" s="1132"/>
      <x:c r="H26" s="1041"/>
    </x:row>
    <x:row r="27">
      <x:c r="A27" s="1041"/>
      <x:c r="B27" s="1041"/>
      <x:c r="C27" s="1041"/>
      <x:c r="D27" s="1041"/>
      <x:c r="E27" s="1041"/>
      <x:c r="F27" s="1041"/>
      <x:c r="G27" s="1041"/>
      <x:c r="H27" s="1041"/>
    </x:row>
    <x:row r="28" ht="24" customHeight="1">
      <x:c r="A28" s="1041"/>
      <x:c r="B28" s="1134" t="str">
        <x:v>CATALOGUE MATÉRIEL ACTUEL</x:v>
      </x:c>
      <x:c r="C28" s="1134"/>
      <x:c r="D28" s="1134"/>
      <x:c r="E28" s="1134"/>
      <x:c r="F28" s="1134"/>
      <x:c r="G28" s="1134"/>
      <x:c r="H28" s="1041"/>
    </x:row>
    <x:row r="29" ht="24" customHeight="1">
      <x:c r="A29" s="1041"/>
      <x:c r="B29" s="1136" t="str">
        <x:v>Panneaux  |  47</x:v>
      </x:c>
      <x:c r="C29" s="1136"/>
      <x:c r="D29" s="1136" t="str">
        <x:v>Batteries  |  39</x:v>
      </x:c>
      <x:c r="E29" s="1136"/>
      <x:c r="F29" s="1136" t="str">
        <x:v>Onduleurs  |  37</x:v>
      </x:c>
      <x:c r="G29" s="1136"/>
      <x:c r="H29" s="1041"/>
    </x:row>
    <x:row r="30" ht="24" customHeight="1">
      <x:c r="A30" s="1041"/>
      <x:c r="B30" s="1136" t="str">
        <x:v>Régulateurs MPPT  |  10</x:v>
      </x:c>
      <x:c r="C30" s="1136"/>
      <x:c r="D30" s="1136" t="str">
        <x:v>Charges de référence  |  100</x:v>
      </x:c>
      <x:c r="E30" s="1136"/>
      <x:c r="F30" s="1136" t="str">
        <x:v>Catalogue évolutif  |  200 lignes</x:v>
      </x:c>
      <x:c r="G30" s="1136"/>
      <x:c r="H30" s="1041"/>
    </x:row>
    <x:row r="31">
      <x:c r="A31" s="1041"/>
      <x:c r="B31" s="1041"/>
      <x:c r="C31" s="1041"/>
      <x:c r="D31" s="1041"/>
      <x:c r="E31" s="1041"/>
      <x:c r="F31" s="1041"/>
      <x:c r="G31" s="1041"/>
      <x:c r="H31" s="1041"/>
    </x:row>
    <x:row r="32">
      <x:c r="A32" s="1041"/>
      <x:c r="B32" s="1041"/>
      <x:c r="C32" s="1041"/>
      <x:c r="D32" s="1041"/>
      <x:c r="E32" s="1041"/>
      <x:c r="F32" s="1041"/>
      <x:c r="G32" s="1041"/>
      <x:c r="H32" s="1041"/>
    </x:row>
  </x:sheetData>
  <x:mergeCells>
    <x:mergeCell ref="B2:G3"/>
    <x:mergeCell ref="B4:G4"/>
    <x:mergeCell ref="B6:G6"/>
    <x:mergeCell ref="B7:D8"/>
    <x:mergeCell ref="E7:G8"/>
    <x:mergeCell ref="B10:D10"/>
    <x:mergeCell ref="E10:G10"/>
    <x:mergeCell ref="B11:D12"/>
    <x:mergeCell ref="E11:G12"/>
    <x:mergeCell ref="B14:G14"/>
    <x:mergeCell ref="B15:D16"/>
    <x:mergeCell ref="E15:G16"/>
    <x:mergeCell ref="B18:D19"/>
    <x:mergeCell ref="E18:G19"/>
    <x:mergeCell ref="B21:D22"/>
    <x:mergeCell ref="E21:G22"/>
    <x:mergeCell ref="B25:G26"/>
    <x:mergeCell ref="B28:G28"/>
    <x:mergeCell ref="B29:C29"/>
    <x:mergeCell ref="D29:E29"/>
    <x:mergeCell ref="F29:G29"/>
    <x:mergeCell ref="B30:C30"/>
    <x:mergeCell ref="D30:E30"/>
    <x:mergeCell ref="F30:G30"/>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3" hidden="0" customWidth="1"/>
    <x:col min="2" max="2" width="30" hidden="0" customWidth="1"/>
    <x:col min="3" max="3" width="40" hidden="0" customWidth="1"/>
    <x:col min="4" max="4" width="25" hidden="0" customWidth="1"/>
    <x:col min="5" max="5" width="18" hidden="0" customWidth="1"/>
    <x:col min="6" max="6" width="18" hidden="0" customWidth="1"/>
    <x:col min="14" max="14" width="0.10000000149011612" hidden="0" customWidth="1"/>
    <x:col min="15" max="15" width="0.10000000149011612" hidden="0" customWidth="1"/>
  </x:cols>
  <x:sheetData>
    <x:row r="1" ht="38" customHeight="1">
      <x:c r="A1" s="1161" t="str">
        <x:v>PROJET ET HYPOTHÈSES</x:v>
      </x:c>
      <x:c r="B1" s="1161"/>
      <x:c r="C1" s="1161"/>
      <x:c r="D1" s="1161"/>
      <x:c r="E1" s="1162"/>
      <x:c r="F1" s="1162"/>
      <x:c r="G1" s="1162"/>
      <x:c r="H1" s="1162"/>
      <x:c r="I1" s="1162"/>
      <x:c r="J1" s="1162"/>
      <x:c r="K1" s="1162"/>
      <x:c r="L1" s="1162"/>
      <x:c r="M1" s="1162"/>
      <x:c r="N1" s="1162"/>
      <x:c r="O1" s="1162"/>
      <x:c r="P1" s="1041"/>
      <x:c r="Q1" s="1041"/>
      <x:c r="R1" s="1041"/>
      <x:c r="S1" s="1041"/>
      <x:c r="T1" s="1041"/>
      <x:c r="U1" s="1041"/>
      <x:c r="V1" s="1041"/>
      <x:c r="W1" s="1041"/>
      <x:c r="X1" s="1041"/>
      <x:c r="Y1" s="1041"/>
      <x:c r="Z1" s="1041"/>
    </x:row>
    <x:row r="2">
      <x:c r="A2" s="17"/>
      <x:c r="B2" s="17"/>
      <x:c r="C2" s="4"/>
      <x:c r="D2" s="4"/>
    </x:row>
    <x:row r="3">
      <x:c r="A3" s="18"/>
      <x:c r="B3" s="18"/>
      <x:c r="C3" s="1"/>
      <x:c r="D3" s="1"/>
    </x:row>
    <x:row r="4">
      <x:c r="A4" s="1164" t="str">
        <x:v>Informations projet et paramètres de conception</x:v>
      </x:c>
      <x:c r="B4" s="1164"/>
      <x:c r="C4" s="9"/>
      <x:c r="D4" s="9"/>
    </x:row>
    <x:row r="5" ht="25" customHeight="1">
      <x:c r="A5" s="1025" t="str">
        <x:v>Nom du projet</x:v>
      </x:c>
      <x:c r="B5" s="1168" t="str">
        <x:v>DÉMO - à remplacer</x:v>
      </x:c>
      <x:c r="C5" s="1"/>
      <x:c r="D5" s="1"/>
    </x:row>
    <x:row r="6" ht="25" customHeight="1">
      <x:c r="A6" s="1025" t="str">
        <x:v>Pays</x:v>
      </x:c>
      <x:c r="B6" s="1168" t="str">
        <x:v>Sénégal</x:v>
      </x:c>
      <x:c r="C6" s="1"/>
      <x:c r="D6" s="1"/>
      <x:c r="N6" s="1160" t="str">
        <x:f>IF('Conversion'!B6="MPPT",'Conversion'!A6,"")</x:f>
        <x:v>Victron-150-70</x:v>
      </x:c>
      <x:c r="O6" s="1160" t="str">
        <x:f>IF(OR('Conversion'!B6="Onduleur hybride",'Conversion'!B6="Onduleur/chargeur hybride",'Conversion'!B6="Onduleur hybride réseau / secours",'Conversion'!B6="Onduleur réseau"),'Conversion'!A6,"")</x:f>
      </x:c>
      <x:c r="P6" s="1061"/>
    </x:row>
    <x:row r="7" ht="25" customHeight="1">
      <x:c r="A7" s="1025" t="str">
        <x:v>Mode</x:v>
      </x:c>
      <x:c r="B7" s="1168" t="str">
        <x:v>Autonome</x:v>
      </x:c>
      <x:c r="C7" s="1"/>
      <x:c r="D7" s="1"/>
      <x:c r="N7" s="1160" t="str">
        <x:f>IF('Conversion'!B7="MPPT",'Conversion'!A7,"")</x:f>
        <x:v>Victron-150-85</x:v>
      </x:c>
      <x:c r="O7" s="1160" t="str">
        <x:f>IF(OR('Conversion'!B7="Onduleur hybride",'Conversion'!B7="Onduleur/chargeur hybride",'Conversion'!B7="Onduleur hybride réseau / secours",'Conversion'!B7="Onduleur réseau"),'Conversion'!A7,"")</x:f>
      </x:c>
      <x:c r="P7" s="1061"/>
    </x:row>
    <x:row r="8" ht="25" customHeight="1">
      <x:c r="A8" s="1025" t="str">
        <x:v>Ville / site</x:v>
      </x:c>
      <x:c r="B8" s="1168" t="str">
        <x:v>Dakar (coordonnées indicatives)</x:v>
      </x:c>
      <x:c r="C8" s="1"/>
      <x:c r="D8" s="1"/>
      <x:c r="N8" s="1160" t="str">
        <x:f>IF('Conversion'!B8="MPPT",'Conversion'!A8,"")</x:f>
        <x:v>Victron-150-100</x:v>
      </x:c>
      <x:c r="O8" s="1160" t="str">
        <x:f>IF(OR('Conversion'!B8="Onduleur hybride",'Conversion'!B8="Onduleur/chargeur hybride",'Conversion'!B8="Onduleur hybride réseau / secours",'Conversion'!B8="Onduleur réseau"),'Conversion'!A8,"")</x:f>
      </x:c>
      <x:c r="P8" s="1061"/>
    </x:row>
    <x:row r="9" ht="25" customHeight="1">
      <x:c r="A9" s="1025" t="str">
        <x:v>Latitude (°)</x:v>
      </x:c>
      <x:c r="B9" s="1169" t="n">
        <x:v>14.6928</x:v>
      </x:c>
      <x:c r="C9" s="1"/>
      <x:c r="D9" s="1"/>
      <x:c r="N9" s="1160" t="str">
        <x:f>IF('Conversion'!B9="MPPT",'Conversion'!A9,"")</x:f>
        <x:v>Victron-250-70</x:v>
      </x:c>
      <x:c r="O9" s="1160" t="str">
        <x:f>IF(OR('Conversion'!B9="Onduleur hybride",'Conversion'!B9="Onduleur/chargeur hybride",'Conversion'!B9="Onduleur hybride réseau / secours",'Conversion'!B9="Onduleur réseau"),'Conversion'!A9,"")</x:f>
      </x:c>
      <x:c r="P9" s="1061"/>
    </x:row>
    <x:row r="10" ht="25" customHeight="1">
      <x:c r="A10" s="1025" t="str">
        <x:v>Longitude (°)</x:v>
      </x:c>
      <x:c r="B10" s="1169" t="n">
        <x:v>-17.4467</x:v>
      </x:c>
      <x:c r="C10" s="1"/>
      <x:c r="D10" s="1"/>
      <x:c r="N10" s="1160" t="str">
        <x:f>IF('Conversion'!B10="MPPT",'Conversion'!A10,"")</x:f>
        <x:v>Victron-250-85</x:v>
      </x:c>
      <x:c r="O10" s="1160" t="str">
        <x:f>IF(OR('Conversion'!B10="Onduleur hybride",'Conversion'!B10="Onduleur/chargeur hybride",'Conversion'!B10="Onduleur hybride réseau / secours",'Conversion'!B10="Onduleur réseau"),'Conversion'!A10,"")</x:f>
      </x:c>
      <x:c r="P10" s="1061"/>
    </x:row>
    <x:row r="11" ht="25" customHeight="1">
      <x:c r="A11" s="1025" t="str">
        <x:v>Tension AC nominale (V)</x:v>
      </x:c>
      <x:c r="B11" s="1168" t="n">
        <x:v>230</x:v>
      </x:c>
      <x:c r="C11" s="1"/>
      <x:c r="D11" s="1"/>
      <x:c r="N11" s="1160" t="str">
        <x:f>IF('Conversion'!B11="MPPT",'Conversion'!A11,"")</x:f>
        <x:v>Victron-250-100</x:v>
      </x:c>
      <x:c r="O11" s="1160" t="str">
        <x:f>IF(OR('Conversion'!B11="Onduleur hybride",'Conversion'!B11="Onduleur/chargeur hybride",'Conversion'!B11="Onduleur hybride réseau / secours",'Conversion'!B11="Onduleur réseau"),'Conversion'!A11,"")</x:f>
      </x:c>
      <x:c r="P11" s="1061"/>
    </x:row>
    <x:row r="12" ht="25" customHeight="1">
      <x:c r="A12" s="1025" t="str">
        <x:v>Fréquence (Hz)</x:v>
      </x:c>
      <x:c r="B12" s="1168" t="n">
        <x:v>50</x:v>
      </x:c>
      <x:c r="C12" s="1"/>
      <x:c r="D12" s="1"/>
      <x:c r="N12" s="1160" t="str">
        <x:f>IF('Conversion'!B12="MPPT",'Conversion'!A12,"")</x:f>
      </x:c>
      <x:c r="O12" s="1160" t="str">
        <x:f>IF(OR('Conversion'!B12="Onduleur hybride",'Conversion'!B12="Onduleur/chargeur hybride",'Conversion'!B12="Onduleur hybride réseau / secours",'Conversion'!B12="Onduleur réseau"),'Conversion'!A12,"")</x:f>
        <x:v>MultiPlus-II-48-3000</x:v>
      </x:c>
      <x:c r="P12" s="1061"/>
    </x:row>
    <x:row r="13" ht="25" customHeight="1">
      <x:c r="A13" s="1025" t="str">
        <x:v>Tension bus batterie (V)</x:v>
      </x:c>
      <x:c r="B13" s="1168" t="n">
        <x:v>48</x:v>
      </x:c>
      <x:c r="C13" s="1"/>
      <x:c r="D13" s="1"/>
      <x:c r="N13" s="1160" t="str">
        <x:f>IF('Conversion'!B13="MPPT",'Conversion'!A13,"")</x:f>
      </x:c>
      <x:c r="O13" s="1160" t="str">
        <x:f>IF(OR('Conversion'!B13="Onduleur hybride",'Conversion'!B13="Onduleur/chargeur hybride",'Conversion'!B13="Onduleur hybride réseau / secours",'Conversion'!B13="Onduleur réseau"),'Conversion'!A13,"")</x:f>
        <x:v>MultiPlus-II-48-5000</x:v>
      </x:c>
      <x:c r="P13" s="1061"/>
    </x:row>
    <x:row r="14" ht="25" customHeight="1">
      <x:c r="A14" s="1025" t="str">
        <x:v>Autonomie souhaitée (jours)</x:v>
      </x:c>
      <x:c r="B14" s="1170" t="n">
        <x:v>1</x:v>
      </x:c>
      <x:c r="C14" s="1"/>
      <x:c r="D14" s="1"/>
      <x:c r="N14" s="1160" t="str">
        <x:f>IF('Conversion'!B14="MPPT",'Conversion'!A14,"")</x:f>
      </x:c>
      <x:c r="O14" s="1160" t="str">
        <x:f>IF(OR('Conversion'!B14="Onduleur hybride",'Conversion'!B14="Onduleur/chargeur hybride",'Conversion'!B14="Onduleur hybride réseau / secours",'Conversion'!B14="Onduleur réseau"),'Conversion'!A14,"")</x:f>
        <x:v>MultiPlus-II-48-8000</x:v>
      </x:c>
      <x:c r="P14" s="1061"/>
    </x:row>
    <x:row r="15" ht="25" customHeight="1">
      <x:c r="A15" s="1025" t="str">
        <x:v>Profondeur de décharge max (fraction)</x:v>
      </x:c>
      <x:c r="B15" s="1170" t="n">
        <x:v>0.8</x:v>
      </x:c>
      <x:c r="C15" s="1"/>
      <x:c r="D15" s="1"/>
      <x:c r="N15" s="1160" t="str">
        <x:f>IF('Conversion'!B15="MPPT",'Conversion'!A15,"")</x:f>
      </x:c>
      <x:c r="O15" s="1160" t="str">
        <x:f>IF(OR('Conversion'!B15="Onduleur hybride",'Conversion'!B15="Onduleur/chargeur hybride",'Conversion'!B15="Onduleur hybride réseau / secours",'Conversion'!B15="Onduleur réseau"),'Conversion'!A15,"")</x:f>
        <x:v>GW5048D-ES</x:v>
      </x:c>
      <x:c r="P15" s="1061"/>
    </x:row>
    <x:row r="16" ht="25" customHeight="1">
      <x:c r="A16" s="1025" t="str">
        <x:v>Rendement batterie (fraction)</x:v>
      </x:c>
      <x:c r="B16" s="1170" t="n">
        <x:v>0.95</x:v>
      </x:c>
      <x:c r="C16" s="1"/>
      <x:c r="D16" s="1"/>
      <x:c r="N16" s="1160" t="str">
        <x:f>IF('Conversion'!B16="MPPT",'Conversion'!A16,"")</x:f>
      </x:c>
      <x:c r="O16" s="1160" t="str">
        <x:f>IF(OR('Conversion'!B16="Onduleur hybride",'Conversion'!B16="Onduleur/chargeur hybride",'Conversion'!B16="Onduleur hybride réseau / secours",'Conversion'!B16="Onduleur réseau"),'Conversion'!A16,"")</x:f>
        <x:v>Fronius-Primo-5</x:v>
      </x:c>
      <x:c r="P16" s="1061"/>
    </x:row>
    <x:row r="17" ht="25" customHeight="1">
      <x:c r="A17" s="1025" t="str">
        <x:v>Rendement onduleur (fraction)</x:v>
      </x:c>
      <x:c r="B17" s="1170" t="n">
        <x:v>0.92</x:v>
      </x:c>
      <x:c r="C17" s="1"/>
      <x:c r="D17" s="1"/>
      <x:c r="N17" s="1160" t="str">
        <x:f>IF('Conversion'!B17="MPPT",'Conversion'!A17,"")</x:f>
      </x:c>
      <x:c r="O17" s="1160" t="str">
        <x:f>IF(OR('Conversion'!B17="Onduleur hybride",'Conversion'!B17="Onduleur/chargeur hybride",'Conversion'!B17="Onduleur hybride réseau / secours",'Conversion'!B17="Onduleur réseau"),'Conversion'!A17,"")</x:f>
        <x:v>Huawei-SUN2000-3KTL-L1</x:v>
      </x:c>
      <x:c r="P17" s="1061"/>
    </x:row>
    <x:row r="18" ht="25" customHeight="1">
      <x:c r="A18" s="1025" t="str">
        <x:v>Performance ratio PV (fraction)</x:v>
      </x:c>
      <x:c r="B18" s="1170" t="n">
        <x:v>0.75</x:v>
      </x:c>
      <x:c r="C18" s="1"/>
      <x:c r="D18" s="1"/>
      <x:c r="N18" s="1160" t="str">
        <x:f>IF('Conversion'!B18="MPPT",'Conversion'!A18,"")</x:f>
      </x:c>
      <x:c r="O18" s="1160" t="str">
        <x:f>IF(OR('Conversion'!B18="Onduleur hybride",'Conversion'!B18="Onduleur/chargeur hybride",'Conversion'!B18="Onduleur hybride réseau / secours",'Conversion'!B18="Onduleur réseau"),'Conversion'!A18,"")</x:f>
        <x:v>Huawei-SUN2000-4KTL-L1</x:v>
      </x:c>
      <x:c r="P18" s="1061"/>
    </x:row>
    <x:row r="19" ht="25" customHeight="1">
      <x:c r="A19" s="1025" t="str">
        <x:v>Température minimale de calcul (°C)</x:v>
      </x:c>
      <x:c r="B19" s="1170"/>
      <x:c r="C19" s="1"/>
      <x:c r="D19" s="1"/>
      <x:c r="N19" s="1160" t="str">
        <x:f>IF('Conversion'!B19="MPPT",'Conversion'!A19,"")</x:f>
      </x:c>
      <x:c r="O19" s="1160" t="str">
        <x:f>IF(OR('Conversion'!B19="Onduleur hybride",'Conversion'!B19="Onduleur/chargeur hybride",'Conversion'!B19="Onduleur hybride réseau / secours",'Conversion'!B19="Onduleur réseau"),'Conversion'!A19,"")</x:f>
        <x:v>Huawei-SUN2000-5KTL-L1</x:v>
      </x:c>
      <x:c r="P19" s="1061"/>
    </x:row>
    <x:row r="20" ht="25" customHeight="1">
      <x:c r="A20" s="1025" t="str">
        <x:v>Température cellule maximale (°C)</x:v>
      </x:c>
      <x:c r="B20" s="1170" t="n">
        <x:v>70</x:v>
      </x:c>
      <x:c r="C20" s="1"/>
      <x:c r="D20" s="1"/>
      <x:c r="N20" s="1160" t="str">
        <x:f>IF('Conversion'!B20="MPPT",'Conversion'!A20,"")</x:f>
      </x:c>
      <x:c r="O20" s="1160" t="str">
        <x:f>IF(OR('Conversion'!B20="Onduleur hybride",'Conversion'!B20="Onduleur/chargeur hybride",'Conversion'!B20="Onduleur hybride réseau / secours",'Conversion'!B20="Onduleur réseau"),'Conversion'!A20,"")</x:f>
        <x:v>Huawei-SUN2000-6KTL-L1</x:v>
      </x:c>
      <x:c r="P20" s="1061"/>
    </x:row>
    <x:row r="21" ht="25" customHeight="1">
      <x:c r="A21" s="1025" t="str">
        <x:v>Facteur de puissance groupe</x:v>
      </x:c>
      <x:c r="B21" s="1170" t="n">
        <x:v>0.8</x:v>
      </x:c>
      <x:c r="C21" s="1"/>
      <x:c r="D21" s="1"/>
      <x:c r="N21" s="1160" t="str">
        <x:f>IF('Conversion'!B21="MPPT",'Conversion'!A21,"")</x:f>
        <x:v>Huawei-SUN2000-3KTL-L1-MPPT</x:v>
      </x:c>
      <x:c r="O21" s="1160" t="str">
        <x:f>IF(OR('Conversion'!B21="Onduleur hybride",'Conversion'!B21="Onduleur/chargeur hybride",'Conversion'!B21="Onduleur hybride réseau / secours",'Conversion'!B21="Onduleur réseau"),'Conversion'!A21,"")</x:f>
      </x:c>
      <x:c r="P21" s="1061"/>
    </x:row>
    <x:row r="22" ht="25" customHeight="1">
      <x:c r="A22" s="1025" t="str">
        <x:v>Réserve de croissance / surdimensionnement (%)</x:v>
      </x:c>
      <x:c r="B22" s="1171" t="n">
        <x:v>0.25</x:v>
      </x:c>
      <x:c r="C22" s="1"/>
      <x:c r="D22" s="1"/>
      <x:c r="N22" s="1160" t="str">
        <x:f>IF('Conversion'!B22="MPPT",'Conversion'!A22,"")</x:f>
        <x:v>Huawei-SUN2000-4KTL-L1-MPPT</x:v>
      </x:c>
      <x:c r="O22" s="1160" t="str">
        <x:f>IF(OR('Conversion'!B22="Onduleur hybride",'Conversion'!B22="Onduleur/chargeur hybride",'Conversion'!B22="Onduleur hybride réseau / secours",'Conversion'!B22="Onduleur réseau"),'Conversion'!A22,"")</x:f>
      </x:c>
      <x:c r="P22" s="1061"/>
    </x:row>
    <x:row r="23" ht="25" customHeight="1">
      <x:c r="A23" s="1025" t="str">
        <x:v>Facteur global de démarrage des charges (×)</x:v>
      </x:c>
      <x:c r="B23" s="1170" t="n">
        <x:v>1.5</x:v>
      </x:c>
      <x:c r="C23" s="1"/>
      <x:c r="D23" s="1"/>
      <x:c r="N23" s="1160" t="str">
        <x:f>IF('Conversion'!B23="MPPT",'Conversion'!A23,"")</x:f>
        <x:v>Huawei-SUN2000-5KTL-L1-MPPT</x:v>
      </x:c>
      <x:c r="O23" s="1160" t="str">
        <x:f>IF(OR('Conversion'!B23="Onduleur hybride",'Conversion'!B23="Onduleur/chargeur hybride",'Conversion'!B23="Onduleur hybride réseau / secours",'Conversion'!B23="Onduleur réseau"),'Conversion'!A23,"")</x:f>
      </x:c>
      <x:c r="P23" s="1061"/>
    </x:row>
    <x:row r="24" ht="25" customHeight="1">
      <x:c r="A24" s="1025" t="str">
        <x:v>Tarif énergie (FCFA/kWh)</x:v>
      </x:c>
      <x:c r="B24" s="1172"/>
      <x:c r="C24" s="1"/>
      <x:c r="D24" s="1"/>
      <x:c r="N24" s="1160" t="str">
        <x:f>IF('Conversion'!B24="MPPT",'Conversion'!A24,"")</x:f>
        <x:v>Huawei-SUN2000-6KTL-L1-MPPT</x:v>
      </x:c>
      <x:c r="O24" s="1160" t="str">
        <x:f>IF(OR('Conversion'!B24="Onduleur hybride",'Conversion'!B24="Onduleur/chargeur hybride",'Conversion'!B24="Onduleur hybride réseau / secours",'Conversion'!B24="Onduleur réseau"),'Conversion'!A24,"")</x:f>
      </x:c>
      <x:c r="P24" s="1061"/>
    </x:row>
    <x:row r="25" ht="25" customHeight="1">
      <x:c r="A25" s="1025" t="str">
        <x:v>Prix système (FCFA)</x:v>
      </x:c>
      <x:c r="B25" s="1172"/>
      <x:c r="C25" s="1"/>
      <x:c r="D25" s="1"/>
      <x:c r="N25" s="1160" t="str">
        <x:f>IF('Conversion'!B25="MPPT",'Conversion'!A25,"")</x:f>
      </x:c>
      <x:c r="O25" s="1160" t="str">
        <x:f>IF(OR('Conversion'!B25="Onduleur hybride",'Conversion'!B25="Onduleur/chargeur hybride",'Conversion'!B25="Onduleur hybride réseau / secours",'Conversion'!B25="Onduleur réseau"),'Conversion'!A25,"")</x:f>
        <x:v>Huawei-SUN2000-12KTL-M5</x:v>
      </x:c>
      <x:c r="P25" s="1061"/>
    </x:row>
    <x:row r="26" ht="25" customHeight="1">
      <x:c r="A26" s="1025" t="str">
        <x:v>Facteur CO₂ réseau (kg/kWh)</x:v>
      </x:c>
      <x:c r="B26" s="1172"/>
      <x:c r="N26" s="1160" t="str">
        <x:f>IF('Conversion'!B26="MPPT",'Conversion'!A26,"")</x:f>
      </x:c>
      <x:c r="O26" s="1160" t="str">
        <x:f>IF(OR('Conversion'!B26="Onduleur hybride",'Conversion'!B26="Onduleur/chargeur hybride",'Conversion'!B26="Onduleur hybride réseau / secours",'Conversion'!B26="Onduleur réseau"),'Conversion'!A26,"")</x:f>
        <x:v>Huawei-SUN2000-15KTL-M5</x:v>
      </x:c>
      <x:c r="P26" s="1061"/>
    </x:row>
    <x:row r="27" ht="25" customHeight="1">
      <x:c r="A27" s="1025" t="str">
        <x:v>Validation professionnelle effectuée ?</x:v>
      </x:c>
      <x:c r="B27" s="1168" t="str">
        <x:v>Non</x:v>
      </x:c>
      <x:c r="C27" s="1164" t="str">
        <x:v>MATÉRIEL SÉLECTIONNÉ — description et puissance</x:v>
      </x:c>
      <x:c r="D27" s="1164"/>
      <x:c r="N27" s="1160" t="str">
        <x:f>IF('Conversion'!B27="MPPT",'Conversion'!A27,"")</x:f>
      </x:c>
      <x:c r="O27" s="1160" t="str">
        <x:f>IF(OR('Conversion'!B27="Onduleur hybride",'Conversion'!B27="Onduleur/chargeur hybride",'Conversion'!B27="Onduleur hybride réseau / secours",'Conversion'!B27="Onduleur réseau"),'Conversion'!A27,"")</x:f>
        <x:v>Huawei-SUN2000-17KTL-M5</x:v>
      </x:c>
      <x:c r="P27" s="1061"/>
    </x:row>
    <x:row r="28" ht="36" customHeight="1">
      <x:c r="A28" s="1168" t="str">
        <x:v>Panneau PV — SKU</x:v>
      </x:c>
      <x:c r="B28" s="1168" t="str">
        <x:v>JKM580-72HL4-BDV</x:v>
      </x:c>
      <x:c r="C28" s="1027" t="str">
        <x:f>IFERROR(INDEX('Catalogue PV'!B6:B205,MATCH(B28,'Catalogue PV'!A6:A205,0))&amp;" — "&amp;INDEX('Catalogue PV'!C6:C205,MATCH(B28,'Catalogue PV'!A6:A205,0))&amp;" Wp; Vmp "&amp;INDEX('Catalogue PV'!D6:D205,MATCH(B28,'Catalogue PV'!A6:A205,0))&amp;" V","Choisir un panneau")</x:f>
        <x:v>Jinko Tiger Neo 580 W — 580 Wp; Vmp 43.88 V</x:v>
      </x:c>
      <x:c r="D28" s="1027"/>
      <x:c r="N28" s="1160" t="str">
        <x:f>IF('Conversion'!B28="MPPT",'Conversion'!A28,"")</x:f>
      </x:c>
      <x:c r="O28" s="1160" t="str">
        <x:f>IF(OR('Conversion'!B28="Onduleur hybride",'Conversion'!B28="Onduleur/chargeur hybride",'Conversion'!B28="Onduleur hybride réseau / secours",'Conversion'!B28="Onduleur réseau"),'Conversion'!A28,"")</x:f>
        <x:v>Huawei-SUN2000-20KTL-M5</x:v>
      </x:c>
      <x:c r="P28" s="1061"/>
    </x:row>
    <x:row r="29" ht="36" customHeight="1">
      <x:c r="A29" s="1168" t="str">
        <x:v>Batterie — SKU</x:v>
      </x:c>
      <x:c r="B29" s="1168" t="str">
        <x:v>US5000</x:v>
      </x:c>
      <x:c r="C29" s="1027" t="str">
        <x:f>IFERROR(INDEX('Stockage'!B6:B205,MATCH(B29,'Stockage'!A6:A205,0))&amp;" — "&amp;INDEX('Stockage'!E6:E205,MATCH(B29,'Stockage'!A6:A205,0))&amp;" kWh utiles; "&amp;INDEX('Stockage'!C6:C205,MATCH(B29,'Stockage'!A6:A205,0))&amp;" V","Choisir une batterie")</x:f>
        <x:v>Pylontech US5000 LiFePO₄ — 4.56 kWh utiles; 48 V</x:v>
      </x:c>
      <x:c r="D29" s="1027"/>
      <x:c r="N29" s="1160" t="str">
        <x:f>IF('Conversion'!B29="MPPT",'Conversion'!A29,"")</x:f>
      </x:c>
      <x:c r="O29" s="1160" t="str">
        <x:f>IF(OR('Conversion'!B29="Onduleur hybride",'Conversion'!B29="Onduleur/chargeur hybride",'Conversion'!B29="Onduleur hybride réseau / secours",'Conversion'!B29="Onduleur réseau"),'Conversion'!A29,"")</x:f>
        <x:v>Huawei-SUN2000-25KTL-M5</x:v>
      </x:c>
      <x:c r="P29" s="1061"/>
    </x:row>
    <x:row r="30" ht="36" customHeight="1">
      <x:c r="A30" s="1168" t="str">
        <x:v>Régulateur MPPT — SKU</x:v>
      </x:c>
      <x:c r="B30" s="1168" t="str">
        <x:v>Victron-150-100</x:v>
      </x:c>
      <x:c r="C30" s="1027" t="str">
        <x:f>IFERROR(INDEX('Conversion'!C6:C205,MATCH(B30,'Conversion'!A6:A205,0))&amp;" — "&amp;INDEX('Conversion'!H6:H205,MATCH(B30,'Conversion'!A6:A205,0))&amp;" A; "&amp;INDEX('Conversion'!F6:F205,MATCH(B30,'Conversion'!A6:A205,0))&amp;" W PV admissibles","Choisir un MPPT")</x:f>
        <x:v>SmartSolar 150/100 — 100 A; 5800 W PV admissibles</x:v>
      </x:c>
      <x:c r="D30" s="1027"/>
      <x:c r="N30" s="1160" t="str">
        <x:f>IF('Conversion'!B30="MPPT",'Conversion'!A30,"")</x:f>
      </x:c>
      <x:c r="O30" s="1160" t="str">
        <x:f>IF(OR('Conversion'!B30="Onduleur hybride",'Conversion'!B30="Onduleur/chargeur hybride",'Conversion'!B30="Onduleur hybride réseau / secours",'Conversion'!B30="Onduleur réseau"),'Conversion'!A30,"")</x:f>
        <x:v>Huawei-SUN2000-30KTL-M3</x:v>
      </x:c>
      <x:c r="P30" s="1061"/>
    </x:row>
    <x:row r="31" ht="36" customHeight="1">
      <x:c r="A31" s="1168" t="str">
        <x:v>Onduleur — SKU</x:v>
      </x:c>
      <x:c r="B31" s="1168" t="str">
        <x:v>MultiPlus-II-48-5000</x:v>
      </x:c>
      <x:c r="C31" s="1027" t="str">
        <x:f>IFERROR(INDEX('Conversion'!C12:C205,MATCH(B31,'Conversion'!A12:A205,0))&amp;" — "&amp;INDEX('Conversion'!F12:F205,MATCH(B31,'Conversion'!A12:A205,0))&amp;" W continus; batterie "&amp;INDEX('Conversion'!D12:D205,MATCH(B31,'Conversion'!A12:A205,0))&amp;"–"&amp;INDEX('Conversion'!E12:E205,MATCH(B31,'Conversion'!A12:A205,0))&amp;" V","Choisir un onduleur")</x:f>
        <x:v>MultiPlus-II 48/5000/70-50 230V — 4000 W continus; batterie 38–66 V</x:v>
      </x:c>
      <x:c r="D31" s="1027"/>
      <x:c r="N31" s="1160" t="str">
        <x:f>IF('Conversion'!B31="MPPT",'Conversion'!A31,"")</x:f>
      </x:c>
      <x:c r="O31" s="1160" t="str">
        <x:f>IF(OR('Conversion'!B31="Onduleur hybride",'Conversion'!B31="Onduleur/chargeur hybride",'Conversion'!B31="Onduleur hybride réseau / secours",'Conversion'!B31="Onduleur réseau"),'Conversion'!A31,"")</x:f>
        <x:v>Huawei-SUN2000-36KTL-M3</x:v>
      </x:c>
      <x:c r="P31" s="1061"/>
    </x:row>
    <x:row r="32" ht="22" customHeight="1">
      <x:c r="A32" s="1021" t="str">
        <x:v>AJOUTER UNE RÉFÉRENCE : ouvrez le catalogue correspondant, saisissez la nouvelle ligne et complétez tous les champs avec leurs unités et le lien fabricant. Les menus couvrent jusqu’à la ligne 205. Pour Huawei L1, choisissez le MPPT intégré portant le même modèle que l’onduleur. Les alertes de tension et d’association sont dans Calculs.</x:v>
      </x:c>
      <x:c r="B32" s="1021"/>
      <x:c r="C32" s="1021"/>
      <x:c r="D32" s="1021"/>
      <x:c r="N32" s="1160" t="str">
        <x:f>IF('Conversion'!B32="MPPT",'Conversion'!A32,"")</x:f>
      </x:c>
      <x:c r="O32" s="1160" t="str">
        <x:f>IF(OR('Conversion'!B32="Onduleur hybride",'Conversion'!B32="Onduleur/chargeur hybride",'Conversion'!B32="Onduleur hybride réseau / secours",'Conversion'!B32="Onduleur réseau"),'Conversion'!A32,"")</x:f>
        <x:v>Huawei-SUN2000-40KTL-M3</x:v>
      </x:c>
      <x:c r="P32" s="1061"/>
    </x:row>
    <x:row r="33" ht="22" customHeight="1">
      <x:c r="A33" s="1021" t="str">
        <x:v>SÉLECTION : cliquez dans une cellule jaune des lignes 28 à 31 puis choisissez dans la liste. La description à droite confirme immédiatement le modèle et sa puissance. N’ajoutez pas de référence non présente sans l’enregistrer d’abord dans le catalogue correspondant.</x:v>
      </x:c>
      <x:c r="B33" s="1021"/>
      <x:c r="C33" s="1021"/>
      <x:c r="D33" s="1021"/>
      <x:c r="N33" s="1160" t="str">
        <x:f>IF('Conversion'!B33="MPPT",'Conversion'!A33,"")</x:f>
      </x:c>
      <x:c r="O33" s="1160" t="str">
        <x:f>IF(OR('Conversion'!B33="Onduleur hybride",'Conversion'!B33="Onduleur/chargeur hybride",'Conversion'!B33="Onduleur hybride réseau / secours",'Conversion'!B33="Onduleur réseau"),'Conversion'!A33,"")</x:f>
        <x:v>Huawei-SUN2000-50KTL-M3</x:v>
      </x:c>
      <x:c r="P33" s="1061"/>
    </x:row>
    <x:row r="34" ht="22" customHeight="1">
      <x:c r="A34" s="1021"/>
      <x:c r="B34" s="1021"/>
      <x:c r="C34" s="1021"/>
      <x:c r="D34" s="1021"/>
      <x:c r="N34" s="1160" t="str">
        <x:f>IF('Conversion'!B34="MPPT",'Conversion'!A34,"")</x:f>
      </x:c>
      <x:c r="O34" s="1160" t="str">
        <x:f>IF(OR('Conversion'!B34="Onduleur hybride",'Conversion'!B34="Onduleur/chargeur hybride",'Conversion'!B34="Onduleur hybride réseau / secours",'Conversion'!B34="Onduleur réseau"),'Conversion'!A34,"")</x:f>
        <x:v>Huawei-SUN2000-100KTL-M2</x:v>
      </x:c>
      <x:c r="P34" s="1061"/>
    </x:row>
    <x:row r="35" ht="22" customHeight="1">
      <x:c r="A35" s="1021"/>
      <x:c r="B35" s="1021"/>
      <x:c r="C35" s="1021"/>
      <x:c r="D35" s="1021"/>
      <x:c r="N35" s="1160" t="str">
        <x:f>IF('Conversion'!B35="MPPT",'Conversion'!A35,"")</x:f>
      </x:c>
      <x:c r="O35" s="1160" t="str">
        <x:f>IF(OR('Conversion'!B35="Onduleur hybride",'Conversion'!B35="Onduleur/chargeur hybride",'Conversion'!B35="Onduleur hybride réseau / secours",'Conversion'!B35="Onduleur réseau"),'Conversion'!A35,"")</x:f>
        <x:v>Huawei-SUN2000-115KTL-M2</x:v>
      </x:c>
      <x:c r="P35" s="1061"/>
    </x:row>
    <x:row r="36">
      <x:c r="N36" s="1160" t="str">
        <x:f>IF('Conversion'!B36="MPPT",'Conversion'!A36,"")</x:f>
      </x:c>
      <x:c r="O36" s="1160" t="str">
        <x:f>IF(OR('Conversion'!B36="Onduleur hybride",'Conversion'!B36="Onduleur/chargeur hybride",'Conversion'!B36="Onduleur hybride réseau / secours",'Conversion'!B36="Onduleur réseau"),'Conversion'!A36,"")</x:f>
        <x:v>Huawei-SUN2000-150K-MG0</x:v>
      </x:c>
      <x:c r="P36" s="1061"/>
    </x:row>
    <x:row r="37">
      <x:c r="N37" s="1160" t="str">
        <x:f>IF('Conversion'!B37="MPPT",'Conversion'!A37,"")</x:f>
      </x:c>
      <x:c r="O37" s="1160" t="str">
        <x:f>IF(OR('Conversion'!B37="Onduleur hybride",'Conversion'!B37="Onduleur/chargeur hybride",'Conversion'!B37="Onduleur hybride réseau / secours",'Conversion'!B37="Onduleur réseau"),'Conversion'!A37,"")</x:f>
        <x:v>GoodWe-GW5K-ET</x:v>
      </x:c>
      <x:c r="P37" s="1061"/>
    </x:row>
    <x:row r="38">
      <x:c r="N38" s="1160" t="str">
        <x:f>IF('Conversion'!B38="MPPT",'Conversion'!A38,"")</x:f>
      </x:c>
      <x:c r="O38" s="1160" t="str">
        <x:f>IF(OR('Conversion'!B38="Onduleur hybride",'Conversion'!B38="Onduleur/chargeur hybride",'Conversion'!B38="Onduleur hybride réseau / secours",'Conversion'!B38="Onduleur réseau"),'Conversion'!A38,"")</x:f>
        <x:v>GoodWe-GW6K-ET</x:v>
      </x:c>
      <x:c r="P38" s="1061"/>
    </x:row>
    <x:row r="39">
      <x:c r="N39" s="1160" t="str">
        <x:f>IF('Conversion'!B39="MPPT",'Conversion'!A39,"")</x:f>
      </x:c>
      <x:c r="O39" s="1160" t="str">
        <x:f>IF(OR('Conversion'!B39="Onduleur hybride",'Conversion'!B39="Onduleur/chargeur hybride",'Conversion'!B39="Onduleur hybride réseau / secours",'Conversion'!B39="Onduleur réseau"),'Conversion'!A39,"")</x:f>
        <x:v>GoodWe-GW8K-ET</x:v>
      </x:c>
      <x:c r="P39" s="1061"/>
    </x:row>
    <x:row r="40">
      <x:c r="N40" s="1160" t="str">
        <x:f>IF('Conversion'!B40="MPPT",'Conversion'!A40,"")</x:f>
      </x:c>
      <x:c r="O40" s="1160" t="str">
        <x:f>IF(OR('Conversion'!B40="Onduleur hybride",'Conversion'!B40="Onduleur/chargeur hybride",'Conversion'!B40="Onduleur hybride réseau / secours",'Conversion'!B40="Onduleur réseau"),'Conversion'!A40,"")</x:f>
        <x:v>GoodWe-GW10K-ET</x:v>
      </x:c>
      <x:c r="P40" s="1061"/>
    </x:row>
    <x:row r="41">
      <x:c r="N41" s="1160" t="str">
        <x:f>IF('Conversion'!B41="MPPT",'Conversion'!A41,"")</x:f>
      </x:c>
      <x:c r="O41" s="1160" t="str">
        <x:f>IF(OR('Conversion'!B41="Onduleur hybride",'Conversion'!B41="Onduleur/chargeur hybride",'Conversion'!B41="Onduleur hybride réseau / secours",'Conversion'!B41="Onduleur réseau"),'Conversion'!A41,"")</x:f>
        <x:v>Deye-SUN-5K-SG04LP3-EU</x:v>
      </x:c>
      <x:c r="P41" s="1061"/>
    </x:row>
    <x:row r="42">
      <x:c r="N42" s="1160" t="str">
        <x:f>IF('Conversion'!B42="MPPT",'Conversion'!A42,"")</x:f>
      </x:c>
      <x:c r="O42" s="1160" t="str">
        <x:f>IF(OR('Conversion'!B42="Onduleur hybride",'Conversion'!B42="Onduleur/chargeur hybride",'Conversion'!B42="Onduleur hybride réseau / secours",'Conversion'!B42="Onduleur réseau"),'Conversion'!A42,"")</x:f>
        <x:v>Deye-SUN-6K-SG04LP3-EU</x:v>
      </x:c>
      <x:c r="P42" s="1061"/>
    </x:row>
    <x:row r="43">
      <x:c r="N43" s="1160" t="str">
        <x:f>IF('Conversion'!B43="MPPT",'Conversion'!A43,"")</x:f>
      </x:c>
      <x:c r="O43" s="1160" t="str">
        <x:f>IF(OR('Conversion'!B43="Onduleur hybride",'Conversion'!B43="Onduleur/chargeur hybride",'Conversion'!B43="Onduleur hybride réseau / secours",'Conversion'!B43="Onduleur réseau"),'Conversion'!A43,"")</x:f>
        <x:v>Deye-SUN-8K-SG04LP3-EU</x:v>
      </x:c>
      <x:c r="P43" s="1061"/>
    </x:row>
    <x:row r="44">
      <x:c r="N44" s="1160" t="str">
        <x:f>IF('Conversion'!B44="MPPT",'Conversion'!A44,"")</x:f>
      </x:c>
      <x:c r="O44" s="1160" t="str">
        <x:f>IF(OR('Conversion'!B44="Onduleur hybride",'Conversion'!B44="Onduleur/chargeur hybride",'Conversion'!B44="Onduleur hybride réseau / secours",'Conversion'!B44="Onduleur réseau"),'Conversion'!A44,"")</x:f>
        <x:v>Deye-SUN-10K-SG04LP3-EU</x:v>
      </x:c>
      <x:c r="P44" s="1061"/>
    </x:row>
    <x:row r="45">
      <x:c r="N45" s="1160" t="str">
        <x:f>IF('Conversion'!B45="MPPT",'Conversion'!A45,"")</x:f>
      </x:c>
      <x:c r="O45" s="1160" t="str">
        <x:f>IF(OR('Conversion'!B45="Onduleur hybride",'Conversion'!B45="Onduleur/chargeur hybride",'Conversion'!B45="Onduleur hybride réseau / secours",'Conversion'!B45="Onduleur réseau"),'Conversion'!A45,"")</x:f>
        <x:v>Deye-SUN-12K-SG04LP3-EU</x:v>
      </x:c>
      <x:c r="P45" s="1061"/>
    </x:row>
    <x:row r="46">
      <x:c r="N46" s="1160" t="str">
        <x:f>IF('Conversion'!B46="MPPT",'Conversion'!A46,"")</x:f>
      </x:c>
      <x:c r="O46" s="1160" t="str">
        <x:f>IF(OR('Conversion'!B46="Onduleur hybride",'Conversion'!B46="Onduleur/chargeur hybride",'Conversion'!B46="Onduleur hybride réseau / secours",'Conversion'!B46="Onduleur réseau"),'Conversion'!A46,"")</x:f>
        <x:v>Deye-SUN-3K-SG05LP3-EU-SM2</x:v>
      </x:c>
      <x:c r="P46" s="1061"/>
    </x:row>
    <x:row r="47">
      <x:c r="N47" s="1160" t="str">
        <x:f>IF('Conversion'!B47="MPPT",'Conversion'!A47,"")</x:f>
      </x:c>
      <x:c r="O47" s="1160" t="str">
        <x:f>IF(OR('Conversion'!B47="Onduleur hybride",'Conversion'!B47="Onduleur/chargeur hybride",'Conversion'!B47="Onduleur hybride réseau / secours",'Conversion'!B47="Onduleur réseau"),'Conversion'!A47,"")</x:f>
        <x:v>Deye-SUN-4K-SG05LP3-EU-SM2</x:v>
      </x:c>
      <x:c r="P47" s="1061"/>
    </x:row>
    <x:row r="48">
      <x:c r="N48" s="1160" t="str">
        <x:f>IF('Conversion'!B48="MPPT",'Conversion'!A48,"")</x:f>
      </x:c>
      <x:c r="O48" s="1160" t="str">
        <x:f>IF(OR('Conversion'!B48="Onduleur hybride",'Conversion'!B48="Onduleur/chargeur hybride",'Conversion'!B48="Onduleur hybride réseau / secours",'Conversion'!B48="Onduleur réseau"),'Conversion'!A48,"")</x:f>
        <x:v>Deye-SUN-5K-SG05LP3-EU-SM2</x:v>
      </x:c>
      <x:c r="P48" s="1061"/>
    </x:row>
    <x:row r="49">
      <x:c r="N49" s="1160" t="str">
        <x:f>IF('Conversion'!B49="MPPT",'Conversion'!A49,"")</x:f>
      </x:c>
      <x:c r="O49" s="1160" t="str">
        <x:f>IF(OR('Conversion'!B49="Onduleur hybride",'Conversion'!B49="Onduleur/chargeur hybride",'Conversion'!B49="Onduleur hybride réseau / secours",'Conversion'!B49="Onduleur réseau"),'Conversion'!A49,"")</x:f>
        <x:v>Deye-SUN-6K-SG05LP3-EU-SM2</x:v>
      </x:c>
      <x:c r="P49" s="1061"/>
    </x:row>
    <x:row r="50">
      <x:c r="N50" s="1160" t="str">
        <x:f>IF('Conversion'!B50="MPPT",'Conversion'!A50,"")</x:f>
      </x:c>
      <x:c r="O50" s="1160" t="str">
        <x:f>IF(OR('Conversion'!B50="Onduleur hybride",'Conversion'!B50="Onduleur/chargeur hybride",'Conversion'!B50="Onduleur hybride réseau / secours",'Conversion'!B50="Onduleur réseau"),'Conversion'!A50,"")</x:f>
        <x:v>Deye-SUN-8K-SG05LP3-EU-SM2</x:v>
      </x:c>
      <x:c r="P50" s="1061"/>
    </x:row>
    <x:row r="51">
      <x:c r="N51" s="1160" t="str">
        <x:f>IF('Conversion'!B51="MPPT",'Conversion'!A51,"")</x:f>
      </x:c>
      <x:c r="O51" s="1160" t="str">
        <x:f>IF(OR('Conversion'!B51="Onduleur hybride",'Conversion'!B51="Onduleur/chargeur hybride",'Conversion'!B51="Onduleur hybride réseau / secours",'Conversion'!B51="Onduleur réseau"),'Conversion'!A51,"")</x:f>
        <x:v>Deye-SUN-10K-SG05LP3-EU-SM2</x:v>
      </x:c>
      <x:c r="P51" s="1061"/>
    </x:row>
    <x:row r="52">
      <x:c r="N52" s="1160" t="str">
        <x:f>IF('Conversion'!B52="MPPT",'Conversion'!A52,"")</x:f>
      </x:c>
      <x:c r="O52" s="1160" t="str">
        <x:f>IF(OR('Conversion'!B52="Onduleur hybride",'Conversion'!B52="Onduleur/chargeur hybride",'Conversion'!B52="Onduleur hybride réseau / secours",'Conversion'!B52="Onduleur réseau"),'Conversion'!A52,"")</x:f>
        <x:v>Deye-SUN-12K-SG05LP3-EU-SM2</x:v>
      </x:c>
      <x:c r="P52" s="1061"/>
    </x:row>
    <x:row r="53">
      <x:c r="N53" s="1160" t="str">
        <x:f>IF('Conversion'!B53="MPPT",'Conversion'!A53,"")</x:f>
      </x:c>
      <x:c r="O53" s="1160" t="str">
        <x:f>IF(OR('Conversion'!B53="Onduleur hybride",'Conversion'!B53="Onduleur/chargeur hybride",'Conversion'!B53="Onduleur hybride réseau / secours",'Conversion'!B53="Onduleur réseau"),'Conversion'!A53,"")</x:f>
      </x:c>
      <x:c r="P53" s="1061"/>
    </x:row>
    <x:row r="54">
      <x:c r="N54" s="1160" t="str">
        <x:f>IF('Conversion'!B54="MPPT",'Conversion'!A54,"")</x:f>
      </x:c>
      <x:c r="O54" s="1160" t="str">
        <x:f>IF(OR('Conversion'!B54="Onduleur hybride",'Conversion'!B54="Onduleur/chargeur hybride",'Conversion'!B54="Onduleur hybride réseau / secours",'Conversion'!B54="Onduleur réseau"),'Conversion'!A54,"")</x:f>
      </x:c>
      <x:c r="P54" s="1061"/>
    </x:row>
    <x:row r="55">
      <x:c r="N55" s="1160" t="str">
        <x:f>IF('Conversion'!B55="MPPT",'Conversion'!A55,"")</x:f>
      </x:c>
      <x:c r="O55" s="1160" t="str">
        <x:f>IF(OR('Conversion'!B55="Onduleur hybride",'Conversion'!B55="Onduleur/chargeur hybride",'Conversion'!B55="Onduleur hybride réseau / secours",'Conversion'!B55="Onduleur réseau"),'Conversion'!A55,"")</x:f>
      </x:c>
      <x:c r="P55" s="1061"/>
    </x:row>
    <x:row r="56">
      <x:c r="N56" s="1160" t="str">
        <x:f>IF('Conversion'!B56="MPPT",'Conversion'!A56,"")</x:f>
      </x:c>
      <x:c r="O56" s="1160" t="str">
        <x:f>IF(OR('Conversion'!B56="Onduleur hybride",'Conversion'!B56="Onduleur/chargeur hybride",'Conversion'!B56="Onduleur hybride réseau / secours",'Conversion'!B56="Onduleur réseau"),'Conversion'!A56,"")</x:f>
      </x:c>
      <x:c r="P56" s="1061"/>
    </x:row>
    <x:row r="57">
      <x:c r="N57" s="1160" t="str">
        <x:f>IF('Conversion'!B57="MPPT",'Conversion'!A57,"")</x:f>
      </x:c>
      <x:c r="O57" s="1160" t="str">
        <x:f>IF(OR('Conversion'!B57="Onduleur hybride",'Conversion'!B57="Onduleur/chargeur hybride",'Conversion'!B57="Onduleur hybride réseau / secours",'Conversion'!B57="Onduleur réseau"),'Conversion'!A57,"")</x:f>
      </x:c>
      <x:c r="P57" s="1061"/>
    </x:row>
    <x:row r="58">
      <x:c r="N58" s="1160" t="str">
        <x:f>IF('Conversion'!B58="MPPT",'Conversion'!A58,"")</x:f>
      </x:c>
      <x:c r="O58" s="1160" t="str">
        <x:f>IF(OR('Conversion'!B58="Onduleur hybride",'Conversion'!B58="Onduleur/chargeur hybride",'Conversion'!B58="Onduleur hybride réseau / secours",'Conversion'!B58="Onduleur réseau"),'Conversion'!A58,"")</x:f>
      </x:c>
      <x:c r="P58" s="1061"/>
    </x:row>
    <x:row r="59">
      <x:c r="N59" s="1160" t="str">
        <x:f>IF('Conversion'!B59="MPPT",'Conversion'!A59,"")</x:f>
      </x:c>
      <x:c r="O59" s="1160" t="str">
        <x:f>IF(OR('Conversion'!B59="Onduleur hybride",'Conversion'!B59="Onduleur/chargeur hybride",'Conversion'!B59="Onduleur hybride réseau / secours",'Conversion'!B59="Onduleur réseau"),'Conversion'!A59,"")</x:f>
      </x:c>
      <x:c r="P59" s="1061"/>
    </x:row>
    <x:row r="60">
      <x:c r="N60" s="1160" t="str">
        <x:f>IF('Conversion'!B60="MPPT",'Conversion'!A60,"")</x:f>
      </x:c>
      <x:c r="O60" s="1160" t="str">
        <x:f>IF(OR('Conversion'!B60="Onduleur hybride",'Conversion'!B60="Onduleur/chargeur hybride",'Conversion'!B60="Onduleur hybride réseau / secours",'Conversion'!B60="Onduleur réseau"),'Conversion'!A60,"")</x:f>
      </x:c>
      <x:c r="P60" s="1061"/>
    </x:row>
    <x:row r="61">
      <x:c r="N61"/>
      <x:c r="O61"/>
    </x:row>
    <x:row r="62">
      <x:c r="N62"/>
      <x:c r="O62"/>
    </x:row>
    <x:row r="63">
      <x:c r="N63"/>
      <x:c r="O63"/>
    </x:row>
    <x:row r="64">
      <x:c r="N64"/>
      <x:c r="O64"/>
    </x:row>
    <x:row r="65">
      <x:c r="N65"/>
      <x:c r="O65"/>
    </x:row>
    <x:row r="66">
      <x:c r="N66"/>
      <x:c r="O66"/>
    </x:row>
    <x:row r="67">
      <x:c r="N67"/>
      <x:c r="O67"/>
    </x:row>
    <x:row r="68">
      <x:c r="N68"/>
      <x:c r="O68"/>
    </x:row>
    <x:row r="69">
      <x:c r="N69"/>
      <x:c r="O69"/>
    </x:row>
    <x:row r="70">
      <x:c r="N70"/>
      <x:c r="O70"/>
    </x:row>
    <x:row r="71">
      <x:c r="N71"/>
      <x:c r="O71"/>
    </x:row>
    <x:row r="72">
      <x:c r="N72"/>
      <x:c r="O72"/>
    </x:row>
    <x:row r="73">
      <x:c r="N73"/>
      <x:c r="O73"/>
    </x:row>
    <x:row r="74">
      <x:c r="N74"/>
      <x:c r="O74"/>
    </x:row>
    <x:row r="75">
      <x:c r="N75"/>
      <x:c r="O75"/>
    </x:row>
    <x:row r="76">
      <x:c r="N76"/>
      <x:c r="O76"/>
    </x:row>
    <x:row r="77">
      <x:c r="N77"/>
      <x:c r="O77"/>
    </x:row>
    <x:row r="78">
      <x:c r="N78"/>
      <x:c r="O78"/>
    </x:row>
    <x:row r="79">
      <x:c r="N79"/>
      <x:c r="O79"/>
    </x:row>
    <x:row r="80">
      <x:c r="N80"/>
      <x:c r="O80"/>
    </x:row>
    <x:row r="81">
      <x:c r="N81"/>
      <x:c r="O81"/>
    </x:row>
    <x:row r="82">
      <x:c r="N82"/>
      <x:c r="O82"/>
    </x:row>
    <x:row r="83">
      <x:c r="N83"/>
      <x:c r="O83"/>
    </x:row>
    <x:row r="84">
      <x:c r="N84"/>
      <x:c r="O84"/>
    </x:row>
    <x:row r="85">
      <x:c r="N85"/>
      <x:c r="O85"/>
    </x:row>
    <x:row r="86">
      <x:c r="N86"/>
      <x:c r="O86"/>
    </x:row>
    <x:row r="87">
      <x:c r="N87"/>
      <x:c r="O87"/>
    </x:row>
    <x:row r="88">
      <x:c r="N88"/>
      <x:c r="O88"/>
    </x:row>
    <x:row r="89">
      <x:c r="N89"/>
      <x:c r="O89"/>
    </x:row>
    <x:row r="90">
      <x:c r="N90"/>
      <x:c r="O90"/>
    </x:row>
    <x:row r="91">
      <x:c r="N91"/>
      <x:c r="O91"/>
    </x:row>
    <x:row r="92">
      <x:c r="N92"/>
      <x:c r="O92"/>
    </x:row>
    <x:row r="93">
      <x:c r="N93"/>
      <x:c r="O93"/>
    </x:row>
    <x:row r="94">
      <x:c r="N94"/>
      <x:c r="O94"/>
    </x:row>
    <x:row r="95">
      <x:c r="N95"/>
      <x:c r="O95"/>
    </x:row>
    <x:row r="96">
      <x:c r="N96"/>
      <x:c r="O96"/>
    </x:row>
    <x:row r="97">
      <x:c r="N97"/>
      <x:c r="O97"/>
    </x:row>
    <x:row r="98">
      <x:c r="N98"/>
      <x:c r="O98"/>
    </x:row>
    <x:row r="99">
      <x:c r="N99"/>
      <x:c r="O99"/>
    </x:row>
    <x:row r="100">
      <x:c r="N100"/>
      <x:c r="O100"/>
    </x:row>
    <x:row r="101">
      <x:c r="N101"/>
      <x:c r="O101"/>
    </x:row>
    <x:row r="102">
      <x:c r="N102"/>
      <x:c r="O102"/>
    </x:row>
    <x:row r="103">
      <x:c r="N103"/>
      <x:c r="O103"/>
    </x:row>
    <x:row r="104">
      <x:c r="N104"/>
      <x:c r="O104"/>
    </x:row>
    <x:row r="105">
      <x:c r="N105"/>
      <x:c r="O105"/>
    </x:row>
    <x:row r="106">
      <x:c r="N106"/>
      <x:c r="O106"/>
    </x:row>
    <x:row r="107">
      <x:c r="N107"/>
      <x:c r="O107"/>
    </x:row>
    <x:row r="108">
      <x:c r="N108"/>
      <x:c r="O108"/>
    </x:row>
    <x:row r="109">
      <x:c r="N109"/>
      <x:c r="O109"/>
    </x:row>
    <x:row r="110">
      <x:c r="N110"/>
      <x:c r="O110"/>
    </x:row>
    <x:row r="111">
      <x:c r="N111"/>
      <x:c r="O111"/>
    </x:row>
    <x:row r="112">
      <x:c r="N112"/>
      <x:c r="O112"/>
    </x:row>
    <x:row r="113">
      <x:c r="N113"/>
      <x:c r="O113"/>
    </x:row>
    <x:row r="114">
      <x:c r="N114"/>
      <x:c r="O114"/>
    </x:row>
    <x:row r="115">
      <x:c r="N115"/>
      <x:c r="O115"/>
    </x:row>
    <x:row r="116">
      <x:c r="N116"/>
      <x:c r="O116"/>
    </x:row>
    <x:row r="117">
      <x:c r="N117"/>
      <x:c r="O117"/>
    </x:row>
    <x:row r="118">
      <x:c r="N118"/>
      <x:c r="O118"/>
    </x:row>
    <x:row r="119">
      <x:c r="N119"/>
      <x:c r="O119"/>
    </x:row>
    <x:row r="120">
      <x:c r="N120"/>
      <x:c r="O120"/>
    </x:row>
    <x:row r="121">
      <x:c r="N121"/>
      <x:c r="O121"/>
    </x:row>
    <x:row r="122">
      <x:c r="N122"/>
      <x:c r="O122"/>
    </x:row>
    <x:row r="123">
      <x:c r="N123"/>
      <x:c r="O123"/>
    </x:row>
    <x:row r="124">
      <x:c r="N124"/>
      <x:c r="O124"/>
    </x:row>
    <x:row r="125">
      <x:c r="N125"/>
      <x:c r="O125"/>
    </x:row>
    <x:row r="126">
      <x:c r="N126"/>
      <x:c r="O126"/>
    </x:row>
    <x:row r="127">
      <x:c r="N127"/>
      <x:c r="O127"/>
    </x:row>
    <x:row r="128">
      <x:c r="N128"/>
      <x:c r="O128"/>
    </x:row>
    <x:row r="129">
      <x:c r="N129"/>
      <x:c r="O129"/>
    </x:row>
    <x:row r="130">
      <x:c r="N130"/>
      <x:c r="O130"/>
    </x:row>
    <x:row r="131">
      <x:c r="N131"/>
      <x:c r="O131"/>
    </x:row>
    <x:row r="132">
      <x:c r="N132"/>
      <x:c r="O132"/>
    </x:row>
    <x:row r="133">
      <x:c r="N133"/>
      <x:c r="O133"/>
    </x:row>
    <x:row r="134">
      <x:c r="N134"/>
      <x:c r="O134"/>
    </x:row>
    <x:row r="135">
      <x:c r="N135"/>
      <x:c r="O135"/>
    </x:row>
    <x:row r="136">
      <x:c r="N136"/>
      <x:c r="O136"/>
    </x:row>
    <x:row r="137">
      <x:c r="N137"/>
      <x:c r="O137"/>
    </x:row>
    <x:row r="138">
      <x:c r="N138"/>
      <x:c r="O138"/>
    </x:row>
    <x:row r="139">
      <x:c r="N139"/>
      <x:c r="O139"/>
    </x:row>
    <x:row r="140">
      <x:c r="N140"/>
      <x:c r="O140"/>
    </x:row>
    <x:row r="141">
      <x:c r="N141"/>
      <x:c r="O141"/>
    </x:row>
    <x:row r="142">
      <x:c r="N142"/>
      <x:c r="O142"/>
    </x:row>
    <x:row r="143">
      <x:c r="N143"/>
      <x:c r="O143"/>
    </x:row>
    <x:row r="144">
      <x:c r="N144"/>
      <x:c r="O144"/>
    </x:row>
    <x:row r="145">
      <x:c r="N145"/>
      <x:c r="O145"/>
    </x:row>
    <x:row r="146">
      <x:c r="N146"/>
      <x:c r="O146"/>
    </x:row>
    <x:row r="147">
      <x:c r="N147"/>
      <x:c r="O147"/>
    </x:row>
    <x:row r="148">
      <x:c r="N148"/>
      <x:c r="O148"/>
    </x:row>
    <x:row r="149">
      <x:c r="N149"/>
      <x:c r="O149"/>
    </x:row>
    <x:row r="150">
      <x:c r="N150"/>
      <x:c r="O150"/>
    </x:row>
    <x:row r="151">
      <x:c r="N151"/>
      <x:c r="O151"/>
    </x:row>
    <x:row r="152">
      <x:c r="N152"/>
      <x:c r="O152"/>
    </x:row>
    <x:row r="153">
      <x:c r="N153"/>
      <x:c r="O153"/>
    </x:row>
    <x:row r="154">
      <x:c r="N154"/>
      <x:c r="O154"/>
    </x:row>
    <x:row r="155">
      <x:c r="N155"/>
      <x:c r="O155"/>
    </x:row>
    <x:row r="156">
      <x:c r="N156"/>
      <x:c r="O156"/>
    </x:row>
    <x:row r="157">
      <x:c r="N157"/>
      <x:c r="O157"/>
    </x:row>
    <x:row r="158">
      <x:c r="N158"/>
      <x:c r="O158"/>
    </x:row>
    <x:row r="159">
      <x:c r="N159"/>
      <x:c r="O159"/>
    </x:row>
    <x:row r="160">
      <x:c r="N160"/>
      <x:c r="O160"/>
    </x:row>
    <x:row r="161">
      <x:c r="N161"/>
      <x:c r="O161"/>
    </x:row>
    <x:row r="162">
      <x:c r="N162"/>
      <x:c r="O162"/>
    </x:row>
    <x:row r="163">
      <x:c r="N163"/>
      <x:c r="O163"/>
    </x:row>
    <x:row r="164">
      <x:c r="N164"/>
      <x:c r="O164"/>
    </x:row>
    <x:row r="165">
      <x:c r="N165"/>
      <x:c r="O165"/>
    </x:row>
    <x:row r="166">
      <x:c r="N166"/>
      <x:c r="O166"/>
    </x:row>
    <x:row r="167">
      <x:c r="N167"/>
      <x:c r="O167"/>
    </x:row>
    <x:row r="168">
      <x:c r="N168"/>
      <x:c r="O168"/>
    </x:row>
    <x:row r="169">
      <x:c r="N169"/>
      <x:c r="O169"/>
    </x:row>
    <x:row r="170">
      <x:c r="N170"/>
      <x:c r="O170"/>
    </x:row>
    <x:row r="171">
      <x:c r="N171"/>
      <x:c r="O171"/>
    </x:row>
    <x:row r="172">
      <x:c r="N172"/>
      <x:c r="O172"/>
    </x:row>
    <x:row r="173">
      <x:c r="N173"/>
      <x:c r="O173"/>
    </x:row>
    <x:row r="174">
      <x:c r="N174"/>
      <x:c r="O174"/>
    </x:row>
    <x:row r="175">
      <x:c r="N175"/>
      <x:c r="O175"/>
    </x:row>
    <x:row r="176">
      <x:c r="N176"/>
      <x:c r="O176"/>
    </x:row>
    <x:row r="177">
      <x:c r="N177"/>
      <x:c r="O177"/>
    </x:row>
    <x:row r="178">
      <x:c r="N178"/>
      <x:c r="O178"/>
    </x:row>
    <x:row r="179">
      <x:c r="N179"/>
      <x:c r="O179"/>
    </x:row>
    <x:row r="180">
      <x:c r="N180"/>
      <x:c r="O180"/>
    </x:row>
    <x:row r="181">
      <x:c r="N181"/>
      <x:c r="O181"/>
    </x:row>
    <x:row r="182">
      <x:c r="N182"/>
      <x:c r="O182"/>
    </x:row>
    <x:row r="183">
      <x:c r="N183"/>
      <x:c r="O183"/>
    </x:row>
    <x:row r="184">
      <x:c r="N184"/>
      <x:c r="O184"/>
    </x:row>
    <x:row r="185">
      <x:c r="N185"/>
      <x:c r="O185"/>
    </x:row>
    <x:row r="186">
      <x:c r="N186"/>
      <x:c r="O186"/>
    </x:row>
    <x:row r="187">
      <x:c r="N187"/>
      <x:c r="O187"/>
    </x:row>
    <x:row r="188">
      <x:c r="N188"/>
      <x:c r="O188"/>
    </x:row>
    <x:row r="189">
      <x:c r="N189"/>
      <x:c r="O189"/>
    </x:row>
    <x:row r="190">
      <x:c r="N190"/>
      <x:c r="O190"/>
    </x:row>
    <x:row r="191">
      <x:c r="N191"/>
      <x:c r="O191"/>
    </x:row>
    <x:row r="192">
      <x:c r="N192"/>
      <x:c r="O192"/>
    </x:row>
    <x:row r="193">
      <x:c r="N193"/>
      <x:c r="O193"/>
    </x:row>
    <x:row r="194">
      <x:c r="N194"/>
      <x:c r="O194"/>
    </x:row>
    <x:row r="195">
      <x:c r="N195"/>
      <x:c r="O195"/>
    </x:row>
    <x:row r="196">
      <x:c r="N196"/>
      <x:c r="O196"/>
    </x:row>
    <x:row r="197">
      <x:c r="N197"/>
      <x:c r="O197"/>
    </x:row>
    <x:row r="198">
      <x:c r="N198"/>
      <x:c r="O198"/>
    </x:row>
    <x:row r="199">
      <x:c r="N199"/>
      <x:c r="O199"/>
    </x:row>
    <x:row r="200">
      <x:c r="N200"/>
      <x:c r="O200"/>
    </x:row>
    <x:row r="201">
      <x:c r="N201"/>
      <x:c r="O201"/>
    </x:row>
    <x:row r="202">
      <x:c r="N202"/>
      <x:c r="O202"/>
    </x:row>
    <x:row r="203">
      <x:c r="N203"/>
      <x:c r="O203"/>
    </x:row>
    <x:row r="204">
      <x:c r="N204"/>
      <x:c r="O204"/>
    </x:row>
    <x:row r="205">
      <x:c r="N205"/>
      <x:c r="O205"/>
    </x:row>
  </x:sheetData>
  <x:mergeCells>
    <x:mergeCell ref="A4:D4"/>
    <x:mergeCell ref="C27:D27"/>
    <x:mergeCell ref="C28:D28"/>
    <x:mergeCell ref="C29:D29"/>
    <x:mergeCell ref="C30:D30"/>
    <x:mergeCell ref="C31:D31"/>
    <x:mergeCell ref="A32:D35"/>
    <x:mergeCell ref="A1:D1"/>
  </x:mergeCells>
  <x:dataValidations count="6">
    <x:dataValidation type="list" sqref="B7">
      <x:formula1>"Autonome,Raccordé réseau,Hybride"</x:formula1>
    </x:dataValidation>
    <x:dataValidation type="list" sqref="B27">
      <x:formula1>"Non,Oui"</x:formula1>
    </x:dataValidation>
    <x:dataValidation type="list" sqref="B28">
      <x:formula1>'Catalogue PV'!$A$6:$A$205</x:formula1>
    </x:dataValidation>
    <x:dataValidation type="list" sqref="B29">
      <x:formula1>'Stockage'!$A$6:$A$205</x:formula1>
    </x:dataValidation>
    <x:dataValidation type="list" sqref="B30">
      <x:formula1>$N$6:$N$60</x:formula1>
    </x:dataValidation>
    <x:dataValidation type="list" sqref="B31">
      <x:formula1>$O$6:$O$60</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2" hidden="0" customWidth="1"/>
    <x:col min="2" max="2" width="10" hidden="0" customWidth="1"/>
    <x:col min="3" max="3" width="22" hidden="0" customWidth="1"/>
    <x:col min="4" max="4" width="13" hidden="0" customWidth="1"/>
    <x:col min="5" max="5" width="13" hidden="0" customWidth="1"/>
    <x:col min="6" max="6" width="13" hidden="0" customWidth="1"/>
    <x:col min="7" max="7" width="15" hidden="0" customWidth="1"/>
    <x:col min="8" max="8" width="15" hidden="0" customWidth="1"/>
    <x:col min="9" max="9" width="11" hidden="0" customWidth="1"/>
    <x:col min="10" max="10" width="32" hidden="0" customWidth="1"/>
    <x:col min="11" max="11" width="22" hidden="0" customWidth="1"/>
    <x:col min="12" max="12" width="38" hidden="0" customWidth="1"/>
    <x:col min="13" max="13" width="22" hidden="0" customWidth="1"/>
    <x:col min="14" max="14" width="17" hidden="0" customWidth="1"/>
    <x:col min="15" max="15" width="58" hidden="0" customWidth="1"/>
  </x:cols>
  <x:sheetData>
    <x:row r="1">
      <x:c r="A1" s="1139" t="str">
        <x:v>BILAN DES CHARGES</x:v>
      </x:c>
      <x:c r="B1" s="1139"/>
      <x:c r="C1" s="1139"/>
      <x:c r="D1" s="1139"/>
      <x:c r="E1" s="1139"/>
      <x:c r="F1" s="1139"/>
      <x:c r="G1" s="1139"/>
      <x:c r="H1" s="1139"/>
      <x:c r="I1" s="1139"/>
      <x:c r="J1" s="1139"/>
      <x:c r="K1" s="1139"/>
      <x:c r="L1" s="1139"/>
      <x:c r="M1" s="1139"/>
      <x:c r="N1" s="1139"/>
      <x:c r="O1" s="1139"/>
    </x:row>
    <x:row r="2">
      <x:c r="A2" s="4"/>
      <x:c r="B2" s="4"/>
      <x:c r="C2" s="4"/>
      <x:c r="D2" s="4"/>
      <x:c r="E2" s="4"/>
      <x:c r="F2" s="4"/>
      <x:c r="G2" s="4"/>
      <x:c r="H2" s="4"/>
      <x:c r="I2" s="4"/>
      <x:c r="J2" s="4"/>
    </x:row>
    <x:row r="3">
      <x:c r="A3" s="31" t="str">
        <x:v>Exemple initial : remplacez/complétez avec plaques signalétiques et mesures. Heures/jour moyennes; quantité × puissance × durée.</x:v>
      </x:c>
      <x:c r="B3" s="31"/>
      <x:c r="C3" s="31"/>
      <x:c r="D3" s="31"/>
      <x:c r="E3" s="31"/>
      <x:c r="F3" s="31"/>
      <x:c r="G3" s="31"/>
      <x:c r="H3" s="31"/>
      <x:c r="I3" s="31"/>
      <x:c r="J3" s="31"/>
    </x:row>
    <x:row r="4">
      <x:c r="A4" s="1"/>
      <x:c r="B4" s="1"/>
      <x:c r="C4" s="1"/>
      <x:c r="D4" s="1"/>
      <x:c r="E4" s="1"/>
      <x:c r="F4" s="1"/>
      <x:c r="G4" s="1"/>
      <x:c r="H4" s="1"/>
      <x:c r="I4" s="1"/>
      <x:c r="J4" s="1"/>
    </x:row>
    <x:row r="5" ht="32" customHeight="1">
      <x:c r="A5" s="989" t="str">
        <x:v>Appareil / charge</x:v>
      </x:c>
      <x:c r="B5" s="989" t="str">
        <x:v>Quantité</x:v>
      </x:c>
      <x:c r="C5" s="989" t="str">
        <x:v>Puissance réelle (W) — priorité</x:v>
      </x:c>
      <x:c r="D5" s="989" t="str">
        <x:v>Heures/jour</x:v>
      </x:c>
      <x:c r="E5" s="989" t="str">
        <x:v>Part jour (0–1)</x:v>
      </x:c>
      <x:c r="F5" s="989" t="str">
        <x:v>Rendement d’usage / facteur de marche</x:v>
      </x:c>
      <x:c r="G5" s="989" t="str">
        <x:v>Énergie/j (Wh)</x:v>
      </x:c>
      <x:c r="H5" s="989" t="str">
        <x:v>Puissance max (W)</x:v>
      </x:c>
      <x:c r="I5" s="989" t="str">
        <x:v>Critique?</x:v>
      </x:c>
      <x:c r="J5" s="989" t="str">
        <x:v>Note / démarrage</x:v>
      </x:c>
      <x:c r="K5" s="989" t="str">
        <x:v>W repère catalogue (indicatif)</x:v>
      </x:c>
      <x:c r="L5" s="950" t="str">
        <x:v>RÉPERTOIRE DES APPAREILS — VALEURS INDICATIVES</x:v>
      </x:c>
      <x:c r="M5" s="950" t="str">
        <x:v>Famille</x:v>
      </x:c>
      <x:c r="N5" s="950" t="str">
        <x:v>Puissance repère (W)</x:v>
      </x:c>
      <x:c r="O5" s="950" t="str">
        <x:v>Méthode / avertissement</x:v>
      </x:c>
    </x:row>
    <x:row r="6" ht="25" customHeight="1">
      <x:c r="A6" s="995" t="str">
        <x:v>Éclairage LED</x:v>
      </x:c>
      <x:c r="B6" s="995" t="n">
        <x:v>8</x:v>
      </x:c>
      <x:c r="C6" s="995" t="n">
        <x:v>10</x:v>
      </x:c>
      <x:c r="D6" s="995" t="n">
        <x:v>5</x:v>
      </x:c>
      <x:c r="E6" s="996" t="n">
        <x:v>0.75</x:v>
      </x:c>
      <x:c r="F6" s="996" t="n">
        <x:v>1</x:v>
      </x:c>
      <x:c r="G6" s="1001" t="n">
        <x:f>IF(OR(B6="",D6="",IF(C6="",K6,C6)=""),"",B6*IF(C6="",K6,C6)*D6*F6)</x:f>
        <x:v>400</x:v>
      </x:c>
      <x:c r="H6" s="1001" t="n">
        <x:f>IF(OR(B6="",IF(C6="",K6,C6)=""),"",B6*IF(C6="",K6,C6))</x:f>
        <x:v>80</x:v>
      </x:c>
      <x:c r="I6" s="995" t="str">
        <x:v>Oui</x:v>
      </x:c>
      <x:c r="J6" s="995" t="str">
        <x:v>Exemple</x:v>
      </x:c>
      <x:c r="K6" s="990" t="str">
        <x:f>IFERROR(INDEX($N$6:$N$205,MATCH(A6,$L$6:$L$205,0)),"")</x:f>
      </x:c>
      <x:c r="L6" s="207" t="str">
        <x:v>Ampoule LED 5 W</x:v>
      </x:c>
      <x:c r="M6" s="207" t="str">
        <x:v>Éclairage</x:v>
      </x:c>
      <x:c r="N6" s="207" t="n">
        <x:v>5</x:v>
      </x:c>
      <x:c r="O6" s="207" t="str">
        <x:v>Repère indicatif — confirmer la plaque signalétique; démarrage à vérifier si moteur</x:v>
      </x:c>
    </x:row>
    <x:row r="7" ht="25" customHeight="1">
      <x:c r="A7" s="995" t="str">
        <x:v>Réfrigérateur</x:v>
      </x:c>
      <x:c r="B7" s="995" t="n">
        <x:v>1</x:v>
      </x:c>
      <x:c r="C7" s="995" t="n">
        <x:v>150</x:v>
      </x:c>
      <x:c r="D7" s="995" t="n">
        <x:v>10</x:v>
      </x:c>
      <x:c r="E7" s="996" t="n">
        <x:v>0.7</x:v>
      </x:c>
      <x:c r="F7" s="996" t="n">
        <x:v>0.45</x:v>
      </x:c>
      <x:c r="G7" s="1001" t="n">
        <x:f>IF(OR(B7="",D7="",IF(C7="",K7,C7)=""),"",B7*IF(C7="",K7,C7)*D7*F7)</x:f>
        <x:v>675</x:v>
      </x:c>
      <x:c r="H7" s="1001" t="n">
        <x:f>IF(OR(B7="",IF(C7="",K7,C7)=""),"",B7*IF(C7="",K7,C7))</x:f>
        <x:v>150</x:v>
      </x:c>
      <x:c r="I7" s="995" t="str">
        <x:v>Oui</x:v>
      </x:c>
      <x:c r="J7" s="995" t="str">
        <x:v>Puissance moyenne estimée; vérifier démarrage</x:v>
      </x:c>
      <x:c r="K7" s="990" t="str">
        <x:f>IFERROR(INDEX($N$6:$N$205,MATCH(A7,$L$6:$L$205,0)),"")</x:f>
      </x:c>
      <x:c r="L7" s="207" t="str">
        <x:v>Ampoule LED 7 W</x:v>
      </x:c>
      <x:c r="M7" s="207" t="str">
        <x:v>Éclairage</x:v>
      </x:c>
      <x:c r="N7" s="207" t="n">
        <x:v>7</x:v>
      </x:c>
      <x:c r="O7" s="207" t="str">
        <x:v>Repère indicatif — confirmer la plaque signalétique; démarrage à vérifier si moteur</x:v>
      </x:c>
    </x:row>
    <x:row r="8" ht="25" customHeight="1">
      <x:c r="A8" s="995" t="str">
        <x:v>Télévision</x:v>
      </x:c>
      <x:c r="B8" s="995" t="n">
        <x:v>1</x:v>
      </x:c>
      <x:c r="C8" s="995" t="n">
        <x:v>100</x:v>
      </x:c>
      <x:c r="D8" s="995" t="n">
        <x:v>5</x:v>
      </x:c>
      <x:c r="E8" s="996" t="n">
        <x:v>0.8</x:v>
      </x:c>
      <x:c r="F8" s="996" t="n">
        <x:v>1</x:v>
      </x:c>
      <x:c r="G8" s="1001" t="n">
        <x:f>IF(OR(B8="",D8="",IF(C8="",K8,C8)=""),"",B8*IF(C8="",K8,C8)*D8*F8)</x:f>
        <x:v>500</x:v>
      </x:c>
      <x:c r="H8" s="1001" t="n">
        <x:f>IF(OR(B8="",IF(C8="",K8,C8)=""),"",B8*IF(C8="",K8,C8))</x:f>
        <x:v>100</x:v>
      </x:c>
      <x:c r="I8" s="995" t="str">
        <x:v>Non</x:v>
      </x:c>
      <x:c r="J8" s="995" t="str">
        <x:v>Exemple</x:v>
      </x:c>
      <x:c r="K8" s="990" t="str">
        <x:f>IFERROR(INDEX($N$6:$N$205,MATCH(A8,$L$6:$L$205,0)),"")</x:f>
      </x:c>
      <x:c r="L8" s="207" t="str">
        <x:v>Ampoule LED 9 W</x:v>
      </x:c>
      <x:c r="M8" s="207" t="str">
        <x:v>Éclairage</x:v>
      </x:c>
      <x:c r="N8" s="207" t="n">
        <x:v>9</x:v>
      </x:c>
      <x:c r="O8" s="207" t="str">
        <x:v>Repère indicatif — confirmer la plaque signalétique; démarrage à vérifier si moteur</x:v>
      </x:c>
    </x:row>
    <x:row r="9" ht="25" customHeight="1">
      <x:c r="A9" s="995" t="str">
        <x:v>Ventilateur</x:v>
      </x:c>
      <x:c r="B9" s="995" t="n">
        <x:v>3</x:v>
      </x:c>
      <x:c r="C9" s="995" t="n">
        <x:v>60</x:v>
      </x:c>
      <x:c r="D9" s="995" t="n">
        <x:v>8</x:v>
      </x:c>
      <x:c r="E9" s="996" t="n">
        <x:v>0.8</x:v>
      </x:c>
      <x:c r="F9" s="996" t="n">
        <x:v>1</x:v>
      </x:c>
      <x:c r="G9" s="1001" t="n">
        <x:f>IF(OR(B9="",D9="",IF(C9="",K9,C9)=""),"",B9*IF(C9="",K9,C9)*D9*F9)</x:f>
        <x:v>1440</x:v>
      </x:c>
      <x:c r="H9" s="1001" t="n">
        <x:f>IF(OR(B9="",IF(C9="",K9,C9)=""),"",B9*IF(C9="",K9,C9))</x:f>
        <x:v>180</x:v>
      </x:c>
      <x:c r="I9" s="995" t="str">
        <x:v>Non</x:v>
      </x:c>
      <x:c r="J9" s="995" t="str">
        <x:v>Exemple</x:v>
      </x:c>
      <x:c r="K9" s="990" t="str">
        <x:f>IFERROR(INDEX($N$6:$N$205,MATCH(A9,$L$6:$L$205,0)),"")</x:f>
      </x:c>
      <x:c r="L9" s="207" t="str">
        <x:v>Ampoule LED 12 W</x:v>
      </x:c>
      <x:c r="M9" s="207" t="str">
        <x:v>Éclairage</x:v>
      </x:c>
      <x:c r="N9" s="207" t="n">
        <x:v>12</x:v>
      </x:c>
      <x:c r="O9" s="207" t="str">
        <x:v>Repère indicatif — confirmer la plaque signalétique; démarrage à vérifier si moteur</x:v>
      </x:c>
    </x:row>
    <x:row r="10" ht="25" customHeight="1">
      <x:c r="A10" s="995" t="str">
        <x:v>Ordinateur</x:v>
      </x:c>
      <x:c r="B10" s="995" t="n">
        <x:v>2</x:v>
      </x:c>
      <x:c r="C10" s="995" t="n">
        <x:v>90</x:v>
      </x:c>
      <x:c r="D10" s="995" t="n">
        <x:v>6</x:v>
      </x:c>
      <x:c r="E10" s="996" t="n">
        <x:v>0.9</x:v>
      </x:c>
      <x:c r="F10" s="996" t="n">
        <x:v>1</x:v>
      </x:c>
      <x:c r="G10" s="1001" t="n">
        <x:f>IF(OR(B10="",D10="",IF(C10="",K10,C10)=""),"",B10*IF(C10="",K10,C10)*D10*F10)</x:f>
        <x:v>1080</x:v>
      </x:c>
      <x:c r="H10" s="1001" t="n">
        <x:f>IF(OR(B10="",IF(C10="",K10,C10)=""),"",B10*IF(C10="",K10,C10))</x:f>
        <x:v>180</x:v>
      </x:c>
      <x:c r="I10" s="995" t="str">
        <x:v>Oui</x:v>
      </x:c>
      <x:c r="J10" s="995" t="str">
        <x:v>Exemple</x:v>
      </x:c>
      <x:c r="K10" s="990" t="str">
        <x:f>IFERROR(INDEX($N$6:$N$205,MATCH(A10,$L$6:$L$205,0)),"")</x:f>
      </x:c>
      <x:c r="L10" s="207" t="str">
        <x:v>Ampoule LED 15 W</x:v>
      </x:c>
      <x:c r="M10" s="207" t="str">
        <x:v>Éclairage</x:v>
      </x:c>
      <x:c r="N10" s="207" t="n">
        <x:v>15</x:v>
      </x:c>
      <x:c r="O10" s="207" t="str">
        <x:v>Repère indicatif — confirmer la plaque signalétique; démarrage à vérifier si moteur</x:v>
      </x:c>
    </x:row>
    <x:row r="11" ht="25" customHeight="1">
      <x:c r="A11" s="995" t="str">
        <x:v>Pompe</x:v>
      </x:c>
      <x:c r="B11" s="995" t="n">
        <x:v>1</x:v>
      </x:c>
      <x:c r="C11" s="995" t="n">
        <x:v>750</x:v>
      </x:c>
      <x:c r="D11" s="995" t="n">
        <x:v>1</x:v>
      </x:c>
      <x:c r="E11" s="996" t="n">
        <x:v>0.7</x:v>
      </x:c>
      <x:c r="F11" s="996" t="n">
        <x:v>0.6</x:v>
      </x:c>
      <x:c r="G11" s="1001" t="n">
        <x:f>IF(OR(B11="",D11="",IF(C11="",K11,C11)=""),"",B11*IF(C11="",K11,C11)*D11*F11)</x:f>
        <x:v>450</x:v>
      </x:c>
      <x:c r="H11" s="1001" t="n">
        <x:f>IF(OR(B11="",IF(C11="",K11,C11)=""),"",B11*IF(C11="",K11,C11))</x:f>
        <x:v>750</x:v>
      </x:c>
      <x:c r="I11" s="995" t="str">
        <x:v>Oui</x:v>
      </x:c>
      <x:c r="J11" s="995" t="str">
        <x:v>Exemple; courant de démarrage à mesurer</x:v>
      </x:c>
      <x:c r="K11" s="990" t="str">
        <x:f>IFERROR(INDEX($N$6:$N$205,MATCH(A11,$L$6:$L$205,0)),"")</x:f>
      </x:c>
      <x:c r="L11" s="207" t="str">
        <x:v>Ampoule LED 20 W</x:v>
      </x:c>
      <x:c r="M11" s="207" t="str">
        <x:v>Éclairage</x:v>
      </x:c>
      <x:c r="N11" s="207" t="n">
        <x:v>20</x:v>
      </x:c>
      <x:c r="O11" s="207" t="str">
        <x:v>Repère indicatif — confirmer la plaque signalétique; démarrage à vérifier si moteur</x:v>
      </x:c>
    </x:row>
    <x:row r="12" ht="25" customHeight="1">
      <x:c r="A12" s="995" t="str"/>
      <x:c r="B12" s="995"/>
      <x:c r="C12" s="995"/>
      <x:c r="D12" s="995"/>
      <x:c r="E12" s="996"/>
      <x:c r="F12" s="996"/>
      <x:c r="G12" s="1001" t="str">
        <x:f>IF(OR(B12="",D12="",IF(C12="",K12,C12)=""),"",B12*IF(C12="",K12,C12)*D12*F12)</x:f>
      </x:c>
      <x:c r="H12" s="1001" t="str">
        <x:f>IF(OR(B12="",IF(C12="",K12,C12)=""),"",B12*IF(C12="",K12,C12))</x:f>
      </x:c>
      <x:c r="I12" s="995" t="str">
        <x:v>Non</x:v>
      </x:c>
      <x:c r="J12" s="995" t="str"/>
      <x:c r="K12" s="990" t="str">
        <x:f>IFERROR(INDEX($N$6:$N$205,MATCH(A12,$L$6:$L$205,0)),"")</x:f>
      </x:c>
      <x:c r="L12" s="207" t="str">
        <x:v>Tube LED 18 W</x:v>
      </x:c>
      <x:c r="M12" s="207" t="str">
        <x:v>Éclairage</x:v>
      </x:c>
      <x:c r="N12" s="207" t="n">
        <x:v>18</x:v>
      </x:c>
      <x:c r="O12" s="207" t="str">
        <x:v>Repère indicatif — confirmer la plaque signalétique; démarrage à vérifier si moteur</x:v>
      </x:c>
    </x:row>
    <x:row r="13" ht="25" customHeight="1">
      <x:c r="A13" s="995" t="str"/>
      <x:c r="B13" s="995"/>
      <x:c r="C13" s="995"/>
      <x:c r="D13" s="995"/>
      <x:c r="E13" s="996"/>
      <x:c r="F13" s="996"/>
      <x:c r="G13" s="1001" t="str">
        <x:f>IF(OR(B13="",D13="",IF(C13="",K13,C13)=""),"",B13*IF(C13="",K13,C13)*D13*F13)</x:f>
      </x:c>
      <x:c r="H13" s="1001" t="str">
        <x:f>IF(OR(B13="",IF(C13="",K13,C13)=""),"",B13*IF(C13="",K13,C13))</x:f>
      </x:c>
      <x:c r="I13" s="995" t="str">
        <x:v>Non</x:v>
      </x:c>
      <x:c r="J13" s="995" t="str"/>
      <x:c r="K13" s="990" t="str">
        <x:f>IFERROR(INDEX($N$6:$N$205,MATCH(A13,$L$6:$L$205,0)),"")</x:f>
      </x:c>
      <x:c r="L13" s="207" t="str">
        <x:v>Tube LED 36 W</x:v>
      </x:c>
      <x:c r="M13" s="207" t="str">
        <x:v>Éclairage</x:v>
      </x:c>
      <x:c r="N13" s="207" t="n">
        <x:v>36</x:v>
      </x:c>
      <x:c r="O13" s="207" t="str">
        <x:v>Repère indicatif — confirmer la plaque signalétique; démarrage à vérifier si moteur</x:v>
      </x:c>
    </x:row>
    <x:row r="14" ht="25" customHeight="1">
      <x:c r="A14" s="995" t="str"/>
      <x:c r="B14" s="995"/>
      <x:c r="C14" s="995"/>
      <x:c r="D14" s="995"/>
      <x:c r="E14" s="996"/>
      <x:c r="F14" s="996"/>
      <x:c r="G14" s="1001" t="str">
        <x:f>IF(OR(B14="",D14="",IF(C14="",K14,C14)=""),"",B14*IF(C14="",K14,C14)*D14*F14)</x:f>
      </x:c>
      <x:c r="H14" s="1001" t="str">
        <x:f>IF(OR(B14="",IF(C14="",K14,C14)=""),"",B14*IF(C14="",K14,C14))</x:f>
      </x:c>
      <x:c r="I14" s="995" t="str">
        <x:v>Non</x:v>
      </x:c>
      <x:c r="J14" s="995" t="str"/>
      <x:c r="K14" s="990" t="str">
        <x:f>IFERROR(INDEX($N$6:$N$205,MATCH(A14,$L$6:$L$205,0)),"")</x:f>
      </x:c>
      <x:c r="L14" s="207" t="str">
        <x:v>Projecteur LED 10 W</x:v>
      </x:c>
      <x:c r="M14" s="207" t="str">
        <x:v>Éclairage extérieur</x:v>
      </x:c>
      <x:c r="N14" s="207" t="n">
        <x:v>10</x:v>
      </x:c>
      <x:c r="O14" s="207" t="str">
        <x:v>Repère indicatif — confirmer la plaque signalétique; démarrage à vérifier si moteur</x:v>
      </x:c>
    </x:row>
    <x:row r="15" ht="25" customHeight="1">
      <x:c r="A15" s="995" t="str"/>
      <x:c r="B15" s="995"/>
      <x:c r="C15" s="995"/>
      <x:c r="D15" s="995"/>
      <x:c r="E15" s="996"/>
      <x:c r="F15" s="996"/>
      <x:c r="G15" s="1001" t="str">
        <x:f>IF(OR(B15="",D15="",IF(C15="",K15,C15)=""),"",B15*IF(C15="",K15,C15)*D15*F15)</x:f>
      </x:c>
      <x:c r="H15" s="1001" t="str">
        <x:f>IF(OR(B15="",IF(C15="",K15,C15)=""),"",B15*IF(C15="",K15,C15))</x:f>
      </x:c>
      <x:c r="I15" s="995" t="str">
        <x:v>Non</x:v>
      </x:c>
      <x:c r="J15" s="995" t="str"/>
      <x:c r="K15" s="990" t="str">
        <x:f>IFERROR(INDEX($N$6:$N$205,MATCH(A15,$L$6:$L$205,0)),"")</x:f>
      </x:c>
      <x:c r="L15" s="207" t="str">
        <x:v>Projecteur LED 20 W</x:v>
      </x:c>
      <x:c r="M15" s="207" t="str">
        <x:v>Éclairage extérieur</x:v>
      </x:c>
      <x:c r="N15" s="207" t="n">
        <x:v>20</x:v>
      </x:c>
      <x:c r="O15" s="207" t="str">
        <x:v>Repère indicatif — confirmer la plaque signalétique; démarrage à vérifier si moteur</x:v>
      </x:c>
    </x:row>
    <x:row r="16" ht="25" customHeight="1">
      <x:c r="A16" s="995" t="str"/>
      <x:c r="B16" s="995"/>
      <x:c r="C16" s="995"/>
      <x:c r="D16" s="995"/>
      <x:c r="E16" s="996"/>
      <x:c r="F16" s="996"/>
      <x:c r="G16" s="1001" t="str">
        <x:f>IF(OR(B16="",D16="",IF(C16="",K16,C16)=""),"",B16*IF(C16="",K16,C16)*D16*F16)</x:f>
      </x:c>
      <x:c r="H16" s="1001" t="str">
        <x:f>IF(OR(B16="",IF(C16="",K16,C16)=""),"",B16*IF(C16="",K16,C16))</x:f>
      </x:c>
      <x:c r="I16" s="995" t="str">
        <x:v>Non</x:v>
      </x:c>
      <x:c r="J16" s="995" t="str"/>
      <x:c r="K16" s="990" t="str">
        <x:f>IFERROR(INDEX($N$6:$N$205,MATCH(A16,$L$6:$L$205,0)),"")</x:f>
      </x:c>
      <x:c r="L16" s="207" t="str">
        <x:v>Projecteur LED 50 W</x:v>
      </x:c>
      <x:c r="M16" s="207" t="str">
        <x:v>Éclairage extérieur</x:v>
      </x:c>
      <x:c r="N16" s="207" t="n">
        <x:v>50</x:v>
      </x:c>
      <x:c r="O16" s="207" t="str">
        <x:v>Repère indicatif — confirmer la plaque signalétique; démarrage à vérifier si moteur</x:v>
      </x:c>
    </x:row>
    <x:row r="17" ht="25" customHeight="1">
      <x:c r="A17" s="995" t="str"/>
      <x:c r="B17" s="995"/>
      <x:c r="C17" s="995"/>
      <x:c r="D17" s="995"/>
      <x:c r="E17" s="996"/>
      <x:c r="F17" s="996"/>
      <x:c r="G17" s="1001" t="str">
        <x:f>IF(OR(B17="",D17="",IF(C17="",K17,C17)=""),"",B17*IF(C17="",K17,C17)*D17*F17)</x:f>
      </x:c>
      <x:c r="H17" s="1001" t="str">
        <x:f>IF(OR(B17="",IF(C17="",K17,C17)=""),"",B17*IF(C17="",K17,C17))</x:f>
      </x:c>
      <x:c r="I17" s="995" t="str">
        <x:v>Non</x:v>
      </x:c>
      <x:c r="J17" s="995" t="str"/>
      <x:c r="K17" s="990" t="str">
        <x:f>IFERROR(INDEX($N$6:$N$205,MATCH(A17,$L$6:$L$205,0)),"")</x:f>
      </x:c>
      <x:c r="L17" s="207" t="str">
        <x:v>Projecteur LED 100 W</x:v>
      </x:c>
      <x:c r="M17" s="207" t="str">
        <x:v>Éclairage extérieur</x:v>
      </x:c>
      <x:c r="N17" s="207" t="n">
        <x:v>100</x:v>
      </x:c>
      <x:c r="O17" s="207" t="str">
        <x:v>Repère indicatif — confirmer la plaque signalétique; démarrage à vérifier si moteur</x:v>
      </x:c>
    </x:row>
    <x:row r="18" ht="25" customHeight="1">
      <x:c r="A18" s="995" t="str"/>
      <x:c r="B18" s="995"/>
      <x:c r="C18" s="995"/>
      <x:c r="D18" s="995"/>
      <x:c r="E18" s="996"/>
      <x:c r="F18" s="996"/>
      <x:c r="G18" s="1001" t="str">
        <x:f>IF(OR(B18="",D18="",IF(C18="",K18,C18)=""),"",B18*IF(C18="",K18,C18)*D18*F18)</x:f>
      </x:c>
      <x:c r="H18" s="1001" t="str">
        <x:f>IF(OR(B18="",IF(C18="",K18,C18)=""),"",B18*IF(C18="",K18,C18))</x:f>
      </x:c>
      <x:c r="I18" s="995" t="str">
        <x:v>Non</x:v>
      </x:c>
      <x:c r="J18" s="995" t="str"/>
      <x:c r="K18" s="990" t="str">
        <x:f>IFERROR(INDEX($N$6:$N$205,MATCH(A18,$L$6:$L$205,0)),"")</x:f>
      </x:c>
      <x:c r="L18" s="207" t="str">
        <x:v>Ventilateur de plafond petit</x:v>
      </x:c>
      <x:c r="M18" s="207" t="str">
        <x:v>Ventilation</x:v>
      </x:c>
      <x:c r="N18" s="207" t="n">
        <x:v>35</x:v>
      </x:c>
      <x:c r="O18" s="207" t="str">
        <x:v>Repère indicatif — confirmer la plaque signalétique; démarrage à vérifier si moteur</x:v>
      </x:c>
    </x:row>
    <x:row r="19" ht="25" customHeight="1">
      <x:c r="A19" s="995" t="str"/>
      <x:c r="B19" s="995"/>
      <x:c r="C19" s="995"/>
      <x:c r="D19" s="995"/>
      <x:c r="E19" s="996"/>
      <x:c r="F19" s="996"/>
      <x:c r="G19" s="1001" t="str">
        <x:f>IF(OR(B19="",D19="",IF(C19="",K19,C19)=""),"",B19*IF(C19="",K19,C19)*D19*F19)</x:f>
      </x:c>
      <x:c r="H19" s="1001" t="str">
        <x:f>IF(OR(B19="",IF(C19="",K19,C19)=""),"",B19*IF(C19="",K19,C19))</x:f>
      </x:c>
      <x:c r="I19" s="995" t="str">
        <x:v>Non</x:v>
      </x:c>
      <x:c r="J19" s="995" t="str"/>
      <x:c r="K19" s="990" t="str">
        <x:f>IFERROR(INDEX($N$6:$N$205,MATCH(A19,$L$6:$L$205,0)),"")</x:f>
      </x:c>
      <x:c r="L19" s="207" t="str">
        <x:v>Ventilateur de plafond moyen</x:v>
      </x:c>
      <x:c r="M19" s="207" t="str">
        <x:v>Ventilation</x:v>
      </x:c>
      <x:c r="N19" s="207" t="n">
        <x:v>55</x:v>
      </x:c>
      <x:c r="O19" s="207" t="str">
        <x:v>Repère indicatif — confirmer la plaque signalétique; démarrage à vérifier si moteur</x:v>
      </x:c>
    </x:row>
    <x:row r="20" ht="25" customHeight="1">
      <x:c r="A20" s="995" t="str"/>
      <x:c r="B20" s="995"/>
      <x:c r="C20" s="995"/>
      <x:c r="D20" s="995"/>
      <x:c r="E20" s="996"/>
      <x:c r="F20" s="996"/>
      <x:c r="G20" s="1001" t="str">
        <x:f>IF(OR(B20="",D20="",IF(C20="",K20,C20)=""),"",B20*IF(C20="",K20,C20)*D20*F20)</x:f>
      </x:c>
      <x:c r="H20" s="1001" t="str">
        <x:f>IF(OR(B20="",IF(C20="",K20,C20)=""),"",B20*IF(C20="",K20,C20))</x:f>
      </x:c>
      <x:c r="I20" s="995" t="str">
        <x:v>Non</x:v>
      </x:c>
      <x:c r="J20" s="995" t="str"/>
      <x:c r="K20" s="990" t="str">
        <x:f>IFERROR(INDEX($N$6:$N$205,MATCH(A20,$L$6:$L$205,0)),"")</x:f>
      </x:c>
      <x:c r="L20" s="207" t="str">
        <x:v>Ventilateur de plafond grand</x:v>
      </x:c>
      <x:c r="M20" s="207" t="str">
        <x:v>Ventilation</x:v>
      </x:c>
      <x:c r="N20" s="207" t="n">
        <x:v>75</x:v>
      </x:c>
      <x:c r="O20" s="207" t="str">
        <x:v>Repère indicatif — confirmer la plaque signalétique; démarrage à vérifier si moteur</x:v>
      </x:c>
    </x:row>
    <x:row r="21" ht="25" customHeight="1">
      <x:c r="A21" s="995" t="str"/>
      <x:c r="B21" s="995"/>
      <x:c r="C21" s="995"/>
      <x:c r="D21" s="995"/>
      <x:c r="E21" s="996"/>
      <x:c r="F21" s="996"/>
      <x:c r="G21" s="1001" t="str">
        <x:f>IF(OR(B21="",D21="",IF(C21="",K21,C21)=""),"",B21*IF(C21="",K21,C21)*D21*F21)</x:f>
      </x:c>
      <x:c r="H21" s="1001" t="str">
        <x:f>IF(OR(B21="",IF(C21="",K21,C21)=""),"",B21*IF(C21="",K21,C21))</x:f>
      </x:c>
      <x:c r="I21" s="995" t="str">
        <x:v>Non</x:v>
      </x:c>
      <x:c r="J21" s="995" t="str"/>
      <x:c r="K21" s="990" t="str">
        <x:f>IFERROR(INDEX($N$6:$N$205,MATCH(A21,$L$6:$L$205,0)),"")</x:f>
      </x:c>
      <x:c r="L21" s="207" t="str">
        <x:v>Ventilateur sur pied</x:v>
      </x:c>
      <x:c r="M21" s="207" t="str">
        <x:v>Ventilation</x:v>
      </x:c>
      <x:c r="N21" s="207" t="n">
        <x:v>60</x:v>
      </x:c>
      <x:c r="O21" s="207" t="str">
        <x:v>Repère indicatif — confirmer la plaque signalétique; démarrage à vérifier si moteur</x:v>
      </x:c>
    </x:row>
    <x:row r="22" ht="25" customHeight="1">
      <x:c r="A22" s="995" t="str"/>
      <x:c r="B22" s="995"/>
      <x:c r="C22" s="995"/>
      <x:c r="D22" s="995"/>
      <x:c r="E22" s="996"/>
      <x:c r="F22" s="996"/>
      <x:c r="G22" s="1001" t="str">
        <x:f>IF(OR(B22="",D22="",IF(C22="",K22,C22)=""),"",B22*IF(C22="",K22,C22)*D22*F22)</x:f>
      </x:c>
      <x:c r="H22" s="1001" t="str">
        <x:f>IF(OR(B22="",IF(C22="",K22,C22)=""),"",B22*IF(C22="",K22,C22))</x:f>
      </x:c>
      <x:c r="I22" s="995" t="str">
        <x:v>Non</x:v>
      </x:c>
      <x:c r="J22" s="995" t="str"/>
      <x:c r="K22" s="990" t="str">
        <x:f>IFERROR(INDEX($N$6:$N$205,MATCH(A22,$L$6:$L$205,0)),"")</x:f>
      </x:c>
      <x:c r="L22" s="207" t="str">
        <x:v>Ventilateur mural</x:v>
      </x:c>
      <x:c r="M22" s="207" t="str">
        <x:v>Ventilation</x:v>
      </x:c>
      <x:c r="N22" s="207" t="n">
        <x:v>50</x:v>
      </x:c>
      <x:c r="O22" s="207" t="str">
        <x:v>Repère indicatif — confirmer la plaque signalétique; démarrage à vérifier si moteur</x:v>
      </x:c>
    </x:row>
    <x:row r="23" ht="25" customHeight="1">
      <x:c r="A23" s="995" t="str"/>
      <x:c r="B23" s="995"/>
      <x:c r="C23" s="995"/>
      <x:c r="D23" s="995"/>
      <x:c r="E23" s="996"/>
      <x:c r="F23" s="996"/>
      <x:c r="G23" s="1001" t="str">
        <x:f>IF(OR(B23="",D23="",IF(C23="",K23,C23)=""),"",B23*IF(C23="",K23,C23)*D23*F23)</x:f>
      </x:c>
      <x:c r="H23" s="1001" t="str">
        <x:f>IF(OR(B23="",IF(C23="",K23,C23)=""),"",B23*IF(C23="",K23,C23))</x:f>
      </x:c>
      <x:c r="I23" s="995" t="str">
        <x:v>Non</x:v>
      </x:c>
      <x:c r="J23" s="995" t="str"/>
      <x:c r="K23" s="990" t="str">
        <x:f>IFERROR(INDEX($N$6:$N$205,MATCH(A23,$L$6:$L$205,0)),"")</x:f>
      </x:c>
      <x:c r="L23" s="207" t="str">
        <x:v>Extracteur d’air</x:v>
      </x:c>
      <x:c r="M23" s="207" t="str">
        <x:v>Ventilation</x:v>
      </x:c>
      <x:c r="N23" s="207" t="n">
        <x:v>40</x:v>
      </x:c>
      <x:c r="O23" s="207" t="str">
        <x:v>Repère indicatif — confirmer la plaque signalétique; démarrage à vérifier si moteur</x:v>
      </x:c>
    </x:row>
    <x:row r="24" ht="25" customHeight="1">
      <x:c r="A24" s="995" t="str"/>
      <x:c r="B24" s="995"/>
      <x:c r="C24" s="995"/>
      <x:c r="D24" s="995"/>
      <x:c r="E24" s="996"/>
      <x:c r="F24" s="996"/>
      <x:c r="G24" s="1001" t="str">
        <x:f>IF(OR(B24="",D24="",IF(C24="",K24,C24)=""),"",B24*IF(C24="",K24,C24)*D24*F24)</x:f>
      </x:c>
      <x:c r="H24" s="1001" t="str">
        <x:f>IF(OR(B24="",IF(C24="",K24,C24)=""),"",B24*IF(C24="",K24,C24))</x:f>
      </x:c>
      <x:c r="I24" s="995" t="str">
        <x:v>Non</x:v>
      </x:c>
      <x:c r="J24" s="995" t="str"/>
      <x:c r="K24" s="990" t="str">
        <x:f>IFERROR(INDEX($N$6:$N$205,MATCH(A24,$L$6:$L$205,0)),"")</x:f>
      </x:c>
      <x:c r="L24" s="207" t="str">
        <x:v>Réfrigérateur 1 porte</x:v>
      </x:c>
      <x:c r="M24" s="207" t="str">
        <x:v>Froid</x:v>
      </x:c>
      <x:c r="N24" s="207" t="n">
        <x:v>120</x:v>
      </x:c>
      <x:c r="O24" s="207" t="str">
        <x:v>Repère indicatif — confirmer la plaque signalétique; démarrage à vérifier si moteur</x:v>
      </x:c>
    </x:row>
    <x:row r="25" ht="25" customHeight="1">
      <x:c r="A25" s="995" t="str"/>
      <x:c r="B25" s="995"/>
      <x:c r="C25" s="995"/>
      <x:c r="D25" s="995"/>
      <x:c r="E25" s="996"/>
      <x:c r="F25" s="996"/>
      <x:c r="G25" s="1001" t="str">
        <x:f>IF(OR(B25="",D25="",IF(C25="",K25,C25)=""),"",B25*IF(C25="",K25,C25)*D25*F25)</x:f>
      </x:c>
      <x:c r="H25" s="1001" t="str">
        <x:f>IF(OR(B25="",IF(C25="",K25,C25)=""),"",B25*IF(C25="",K25,C25))</x:f>
      </x:c>
      <x:c r="I25" s="995" t="str">
        <x:v>Non</x:v>
      </x:c>
      <x:c r="J25" s="995" t="str"/>
      <x:c r="K25" s="990" t="str">
        <x:f>IFERROR(INDEX($N$6:$N$205,MATCH(A25,$L$6:$L$205,0)),"")</x:f>
      </x:c>
      <x:c r="L25" s="207" t="str">
        <x:v>Réfrigérateur combiné</x:v>
      </x:c>
      <x:c r="M25" s="207" t="str">
        <x:v>Froid</x:v>
      </x:c>
      <x:c r="N25" s="207" t="n">
        <x:v>180</x:v>
      </x:c>
      <x:c r="O25" s="207" t="str">
        <x:v>Repère indicatif — confirmer la plaque signalétique; démarrage à vérifier si moteur</x:v>
      </x:c>
    </x:row>
    <x:row r="26" ht="25" customHeight="1">
      <x:c r="A26" s="982"/>
      <x:c r="B26" s="982"/>
      <x:c r="C26" s="982"/>
      <x:c r="D26" s="982"/>
      <x:c r="E26" s="997"/>
      <x:c r="F26" s="997"/>
      <x:c r="G26" s="1002" t="str">
        <x:f>IF(OR(B26="",D26="",IF(C26="",K26,C26)=""),"",B26*IF(C26="",K26,C26)*D26*F26)</x:f>
      </x:c>
      <x:c r="H26" s="1002" t="str">
        <x:f>IF(OR(B26="",IF(C26="",K26,C26)=""),"",B26*IF(C26="",K26,C26))</x:f>
      </x:c>
      <x:c r="I26" s="982"/>
      <x:c r="J26" s="982"/>
      <x:c r="K26" s="990" t="str">
        <x:f>IFERROR(INDEX($N$6:$N$205,MATCH(A26,$L$6:$L$205,0)),"")</x:f>
      </x:c>
      <x:c r="L26" s="207" t="str">
        <x:v>Réfrigérateur grande capacité</x:v>
      </x:c>
      <x:c r="M26" s="207" t="str">
        <x:v>Froid</x:v>
      </x:c>
      <x:c r="N26" s="207" t="n">
        <x:v>250</x:v>
      </x:c>
      <x:c r="O26" s="207" t="str">
        <x:v>Repère indicatif — confirmer la plaque signalétique; démarrage à vérifier si moteur</x:v>
      </x:c>
    </x:row>
    <x:row r="27" ht="25" customHeight="1">
      <x:c r="A27" s="998" t="str">
        <x:v>TOTAL — lignes 6 à 205</x:v>
      </x:c>
      <x:c r="B27" s="998"/>
      <x:c r="C27" s="998"/>
      <x:c r="D27" s="998"/>
      <x:c r="E27" s="999"/>
      <x:c r="F27" s="999"/>
      <x:c r="G27" s="1003" t="n">
        <x:f>SUM(G6:G205)</x:f>
        <x:v>4545</x:v>
      </x:c>
      <x:c r="H27" s="1003" t="n">
        <x:f>SUM(H6:H205)</x:f>
        <x:v>1440</x:v>
      </x:c>
      <x:c r="I27" s="998"/>
      <x:c r="J27" s="998"/>
      <x:c r="K27" s="990" t="str">
        <x:f>IFERROR(INDEX($N$6:$N$205,MATCH(A27,$L$6:$L$205,0)),"")</x:f>
      </x:c>
      <x:c r="L27" s="207" t="str">
        <x:v>Congélateur coffre petit</x:v>
      </x:c>
      <x:c r="M27" s="207" t="str">
        <x:v>Froid</x:v>
      </x:c>
      <x:c r="N27" s="207" t="n">
        <x:v>120</x:v>
      </x:c>
      <x:c r="O27" s="207" t="str">
        <x:v>Repère indicatif — confirmer la plaque signalétique; démarrage à vérifier si moteur</x:v>
      </x:c>
    </x:row>
    <x:row r="28" ht="25" customHeight="1">
      <x:c r="A28" s="982"/>
      <x:c r="B28" s="982"/>
      <x:c r="C28" s="982"/>
      <x:c r="D28" s="982"/>
      <x:c r="E28" s="997"/>
      <x:c r="F28" s="997"/>
      <x:c r="G28" s="1002" t="str">
        <x:f>IF(OR(B28="",D28="",IF(C28="",K28,C28)=""),"",B28*IF(C28="",K28,C28)*D28*F28)</x:f>
      </x:c>
      <x:c r="H28" s="1002" t="str">
        <x:f>IF(OR(B28="",IF(C28="",K28,C28)=""),"",B28*IF(C28="",K28,C28))</x:f>
      </x:c>
      <x:c r="I28" s="982"/>
      <x:c r="J28" s="982"/>
      <x:c r="K28" s="990" t="str">
        <x:f>IFERROR(INDEX($N$6:$N$205,MATCH(A28,$L$6:$L$205,0)),"")</x:f>
      </x:c>
      <x:c r="L28" s="207" t="str">
        <x:v>Congélateur coffre moyen</x:v>
      </x:c>
      <x:c r="M28" s="207" t="str">
        <x:v>Froid</x:v>
      </x:c>
      <x:c r="N28" s="207" t="n">
        <x:v>200</x:v>
      </x:c>
      <x:c r="O28" s="207" t="str">
        <x:v>Repère indicatif — confirmer la plaque signalétique; démarrage à vérifier si moteur</x:v>
      </x:c>
    </x:row>
    <x:row r="29" ht="25" customHeight="1">
      <x:c r="A29" s="928" t="str">
        <x:v>MODE D’EMPLOI : choisissez un appareil dans la liste. Si « Puissance réelle » (colonne C) est vide, le calcul reprend le repère indicatif de la colonne K. Dès que vous saisissez la puissance de plaque, elle remplace automatiquement le repère. Renseignez quantité, heures/jour, facteur d’usage et criticité. Valeurs non contractuelles; moteurs/climatiseurs peuvent avoir un courant de démarrage élevé.</x:v>
      </x:c>
      <x:c r="B29" s="928"/>
      <x:c r="C29" s="928"/>
      <x:c r="D29" s="928"/>
      <x:c r="E29" s="1000"/>
      <x:c r="F29" s="1000"/>
      <x:c r="G29" s="1004" t="str">
        <x:f>IF(OR(B29="",D29="",IF(C29="",K29,C29)=""),"",B29*IF(C29="",K29,C29)*D29*F29)</x:f>
      </x:c>
      <x:c r="H29" s="1004" t="str">
        <x:f>IF(OR(B29="",IF(C29="",K29,C29)=""),"",B29*IF(C29="",K29,C29))</x:f>
      </x:c>
      <x:c r="I29" s="928"/>
      <x:c r="J29" s="928"/>
      <x:c r="K29" s="990" t="str">
        <x:f>IFERROR(INDEX($N$6:$N$205,MATCH(A29,$L$6:$L$205,0)),"")</x:f>
      </x:c>
      <x:c r="L29" s="207" t="str">
        <x:v>Congélateur coffre grand</x:v>
      </x:c>
      <x:c r="M29" s="207" t="str">
        <x:v>Froid</x:v>
      </x:c>
      <x:c r="N29" s="207" t="n">
        <x:v>300</x:v>
      </x:c>
      <x:c r="O29" s="207" t="str">
        <x:v>Repère indicatif — confirmer la plaque signalétique; démarrage à vérifier si moteur</x:v>
      </x:c>
    </x:row>
    <x:row r="30" ht="25" customHeight="1">
      <x:c r="A30" s="928"/>
      <x:c r="B30" s="928"/>
      <x:c r="C30" s="928"/>
      <x:c r="D30" s="928"/>
      <x:c r="E30" s="1000"/>
      <x:c r="F30" s="1000"/>
      <x:c r="G30" s="1004" t="str">
        <x:f>IF(OR(B30="",D30="",IF(C30="",K30,C30)=""),"",B30*IF(C30="",K30,C30)*D30*F30)</x:f>
      </x:c>
      <x:c r="H30" s="1004" t="str">
        <x:f>IF(OR(B30="",IF(C30="",K30,C30)=""),"",B30*IF(C30="",K30,C30))</x:f>
      </x:c>
      <x:c r="I30" s="928"/>
      <x:c r="J30" s="928"/>
      <x:c r="K30" s="990" t="str">
        <x:f>IFERROR(INDEX($N$6:$N$205,MATCH(A30,$L$6:$L$205,0)),"")</x:f>
      </x:c>
      <x:c r="L30" s="207" t="str">
        <x:v>Distributeur d’eau avec froid</x:v>
      </x:c>
      <x:c r="M30" s="207" t="str">
        <x:v>Froid</x:v>
      </x:c>
      <x:c r="N30" s="207" t="n">
        <x:v>100</x:v>
      </x:c>
      <x:c r="O30" s="207" t="str">
        <x:v>Repère indicatif — confirmer la plaque signalétique; démarrage à vérifier si moteur</x:v>
      </x:c>
    </x:row>
    <x:row r="31" ht="25" customHeight="1">
      <x:c r="A31" s="928"/>
      <x:c r="B31" s="928"/>
      <x:c r="C31" s="928"/>
      <x:c r="D31" s="928"/>
      <x:c r="E31" s="1000"/>
      <x:c r="F31" s="1000"/>
      <x:c r="G31" s="1004" t="str">
        <x:f>IF(OR(B31="",D31="",IF(C31="",K31,C31)=""),"",B31*IF(C31="",K31,C31)*D31*F31)</x:f>
      </x:c>
      <x:c r="H31" s="1004" t="str">
        <x:f>IF(OR(B31="",IF(C31="",K31,C31)=""),"",B31*IF(C31="",K31,C31))</x:f>
      </x:c>
      <x:c r="I31" s="928"/>
      <x:c r="J31" s="928"/>
      <x:c r="K31" s="990" t="str">
        <x:f>IFERROR(INDEX($N$6:$N$205,MATCH(A31,$L$6:$L$205,0)),"")</x:f>
      </x:c>
      <x:c r="L31" s="207" t="str">
        <x:v>Climatiseur split 9000 BTU</x:v>
      </x:c>
      <x:c r="M31" s="207" t="str">
        <x:v>Climatisation</x:v>
      </x:c>
      <x:c r="N31" s="207" t="n">
        <x:v>900</x:v>
      </x:c>
      <x:c r="O31" s="207" t="str">
        <x:v>Repère indicatif — confirmer la plaque signalétique; démarrage à vérifier si moteur</x:v>
      </x:c>
    </x:row>
    <x:row r="32" ht="25" customHeight="1">
      <x:c r="A32" s="982"/>
      <x:c r="B32" s="982"/>
      <x:c r="C32" s="982"/>
      <x:c r="D32" s="982"/>
      <x:c r="E32" s="997"/>
      <x:c r="F32" s="997"/>
      <x:c r="G32" s="1002" t="str">
        <x:f>IF(OR(B32="",D32="",IF(C32="",K32,C32)=""),"",B32*IF(C32="",K32,C32)*D32*F32)</x:f>
      </x:c>
      <x:c r="H32" s="1002" t="str">
        <x:f>IF(OR(B32="",IF(C32="",K32,C32)=""),"",B32*IF(C32="",K32,C32))</x:f>
      </x:c>
      <x:c r="I32" s="982"/>
      <x:c r="J32" s="982"/>
      <x:c r="K32" s="990" t="str">
        <x:f>IFERROR(INDEX($N$6:$N$205,MATCH(A32,$L$6:$L$205,0)),"")</x:f>
      </x:c>
      <x:c r="L32" s="207" t="str">
        <x:v>Climatiseur split 12000 BTU</x:v>
      </x:c>
      <x:c r="M32" s="207" t="str">
        <x:v>Climatisation</x:v>
      </x:c>
      <x:c r="N32" s="207" t="n">
        <x:v>1200</x:v>
      </x:c>
      <x:c r="O32" s="207" t="str">
        <x:v>Repère indicatif — confirmer la plaque signalétique; démarrage à vérifier si moteur</x:v>
      </x:c>
    </x:row>
    <x:row r="33" ht="25" customHeight="1">
      <x:c r="A33" s="982"/>
      <x:c r="B33" s="982"/>
      <x:c r="C33" s="982"/>
      <x:c r="D33" s="982"/>
      <x:c r="E33" s="997"/>
      <x:c r="F33" s="997"/>
      <x:c r="G33" s="1002" t="str">
        <x:f>IF(OR(B33="",D33="",IF(C33="",K33,C33)=""),"",B33*IF(C33="",K33,C33)*D33*F33)</x:f>
      </x:c>
      <x:c r="H33" s="1002" t="str">
        <x:f>IF(OR(B33="",IF(C33="",K33,C33)=""),"",B33*IF(C33="",K33,C33))</x:f>
      </x:c>
      <x:c r="I33" s="982"/>
      <x:c r="J33" s="982"/>
      <x:c r="K33" s="990" t="str">
        <x:f>IFERROR(INDEX($N$6:$N$205,MATCH(A33,$L$6:$L$205,0)),"")</x:f>
      </x:c>
      <x:c r="L33" s="207" t="str">
        <x:v>Climatiseur split 18000 BTU</x:v>
      </x:c>
      <x:c r="M33" s="207" t="str">
        <x:v>Climatisation</x:v>
      </x:c>
      <x:c r="N33" s="207" t="n">
        <x:v>1800</x:v>
      </x:c>
      <x:c r="O33" s="207" t="str">
        <x:v>Repère indicatif — confirmer la plaque signalétique; démarrage à vérifier si moteur</x:v>
      </x:c>
    </x:row>
    <x:row r="34" ht="25" customHeight="1">
      <x:c r="A34" s="982"/>
      <x:c r="B34" s="982"/>
      <x:c r="C34" s="982"/>
      <x:c r="D34" s="982"/>
      <x:c r="E34" s="997"/>
      <x:c r="F34" s="997"/>
      <x:c r="G34" s="1002" t="str">
        <x:f>IF(OR(B34="",D34="",IF(C34="",K34,C34)=""),"",B34*IF(C34="",K34,C34)*D34*F34)</x:f>
      </x:c>
      <x:c r="H34" s="1002" t="str">
        <x:f>IF(OR(B34="",IF(C34="",K34,C34)=""),"",B34*IF(C34="",K34,C34))</x:f>
      </x:c>
      <x:c r="I34" s="982"/>
      <x:c r="J34" s="982"/>
      <x:c r="K34" s="990" t="str">
        <x:f>IFERROR(INDEX($N$6:$N$205,MATCH(A34,$L$6:$L$205,0)),"")</x:f>
      </x:c>
      <x:c r="L34" s="207" t="str">
        <x:v>Climatiseur split 24000 BTU</x:v>
      </x:c>
      <x:c r="M34" s="207" t="str">
        <x:v>Climatisation</x:v>
      </x:c>
      <x:c r="N34" s="207" t="n">
        <x:v>2400</x:v>
      </x:c>
      <x:c r="O34" s="207" t="str">
        <x:v>Repère indicatif — confirmer la plaque signalétique; démarrage à vérifier si moteur</x:v>
      </x:c>
    </x:row>
    <x:row r="35" ht="25" customHeight="1">
      <x:c r="A35" s="982"/>
      <x:c r="B35" s="982"/>
      <x:c r="C35" s="982"/>
      <x:c r="D35" s="982"/>
      <x:c r="E35" s="997"/>
      <x:c r="F35" s="997"/>
      <x:c r="G35" s="1002" t="str">
        <x:f>IF(OR(B35="",D35="",IF(C35="",K35,C35)=""),"",B35*IF(C35="",K35,C35)*D35*F35)</x:f>
      </x:c>
      <x:c r="H35" s="1002" t="str">
        <x:f>IF(OR(B35="",IF(C35="",K35,C35)=""),"",B35*IF(C35="",K35,C35))</x:f>
      </x:c>
      <x:c r="I35" s="982"/>
      <x:c r="J35" s="982"/>
      <x:c r="K35" s="990" t="str">
        <x:f>IFERROR(INDEX($N$6:$N$205,MATCH(A35,$L$6:$L$205,0)),"")</x:f>
      </x:c>
      <x:c r="L35" s="207" t="str">
        <x:v>Climatiseur split 36000 BTU</x:v>
      </x:c>
      <x:c r="M35" s="207" t="str">
        <x:v>Climatisation</x:v>
      </x:c>
      <x:c r="N35" s="207" t="n">
        <x:v>3600</x:v>
      </x:c>
      <x:c r="O35" s="207" t="str">
        <x:v>Repère indicatif — confirmer la plaque signalétique; démarrage à vérifier si moteur</x:v>
      </x:c>
    </x:row>
    <x:row r="36" ht="25" customHeight="1">
      <x:c r="A36" s="982"/>
      <x:c r="B36" s="982"/>
      <x:c r="C36" s="982"/>
      <x:c r="D36" s="982"/>
      <x:c r="E36" s="997"/>
      <x:c r="F36" s="997"/>
      <x:c r="G36" s="1002" t="str">
        <x:f>IF(OR(B36="",D36="",IF(C36="",K36,C36)=""),"",B36*IF(C36="",K36,C36)*D36*F36)</x:f>
      </x:c>
      <x:c r="H36" s="1002" t="str">
        <x:f>IF(OR(B36="",IF(C36="",K36,C36)=""),"",B36*IF(C36="",K36,C36))</x:f>
      </x:c>
      <x:c r="I36" s="982"/>
      <x:c r="J36" s="982"/>
      <x:c r="K36" s="990" t="str">
        <x:f>IFERROR(INDEX($N$6:$N$205,MATCH(A36,$L$6:$L$205,0)),"")</x:f>
      </x:c>
      <x:c r="L36" s="207" t="str">
        <x:v>Climatiseur fenêtre</x:v>
      </x:c>
      <x:c r="M36" s="207" t="str">
        <x:v>Climatisation</x:v>
      </x:c>
      <x:c r="N36" s="207" t="n">
        <x:v>1500</x:v>
      </x:c>
      <x:c r="O36" s="207" t="str">
        <x:v>Repère indicatif — confirmer la plaque signalétique; démarrage à vérifier si moteur</x:v>
      </x:c>
    </x:row>
    <x:row r="37" ht="25" customHeight="1">
      <x:c r="A37" s="982"/>
      <x:c r="B37" s="982"/>
      <x:c r="C37" s="982"/>
      <x:c r="D37" s="982"/>
      <x:c r="E37" s="997"/>
      <x:c r="F37" s="997"/>
      <x:c r="G37" s="1002" t="str">
        <x:f>IF(OR(B37="",D37="",IF(C37="",K37,C37)=""),"",B37*IF(C37="",K37,C37)*D37*F37)</x:f>
      </x:c>
      <x:c r="H37" s="1002" t="str">
        <x:f>IF(OR(B37="",IF(C37="",K37,C37)=""),"",B37*IF(C37="",K37,C37))</x:f>
      </x:c>
      <x:c r="I37" s="982"/>
      <x:c r="J37" s="982"/>
      <x:c r="K37" s="990" t="str">
        <x:f>IFERROR(INDEX($N$6:$N$205,MATCH(A37,$L$6:$L$205,0)),"")</x:f>
      </x:c>
      <x:c r="L37" s="207" t="str">
        <x:v>Ventilateur brasseur / climatiseur évaporatif</x:v>
      </x:c>
      <x:c r="M37" s="207" t="str">
        <x:v>Climatisation</x:v>
      </x:c>
      <x:c r="N37" s="207" t="n">
        <x:v>120</x:v>
      </x:c>
      <x:c r="O37" s="207" t="str">
        <x:v>Repère indicatif — confirmer la plaque signalétique; démarrage à vérifier si moteur</x:v>
      </x:c>
    </x:row>
    <x:row r="38" ht="25" customHeight="1">
      <x:c r="A38" s="982"/>
      <x:c r="B38" s="982"/>
      <x:c r="C38" s="982"/>
      <x:c r="D38" s="982"/>
      <x:c r="E38" s="997"/>
      <x:c r="F38" s="997"/>
      <x:c r="G38" s="1002" t="str">
        <x:f>IF(OR(B38="",D38="",IF(C38="",K38,C38)=""),"",B38*IF(C38="",K38,C38)*D38*F38)</x:f>
      </x:c>
      <x:c r="H38" s="1002" t="str">
        <x:f>IF(OR(B38="",IF(C38="",K38,C38)=""),"",B38*IF(C38="",K38,C38))</x:f>
      </x:c>
      <x:c r="I38" s="982"/>
      <x:c r="J38" s="982"/>
      <x:c r="K38" s="990" t="str">
        <x:f>IFERROR(INDEX($N$6:$N$205,MATCH(A38,$L$6:$L$205,0)),"")</x:f>
      </x:c>
      <x:c r="L38" s="207" t="str">
        <x:v>Téléviseur LED 32 pouces</x:v>
      </x:c>
      <x:c r="M38" s="207" t="str">
        <x:v>Audiovisuel</x:v>
      </x:c>
      <x:c r="N38" s="207" t="n">
        <x:v>60</x:v>
      </x:c>
      <x:c r="O38" s="207" t="str">
        <x:v>Repère indicatif — confirmer la plaque signalétique; démarrage à vérifier si moteur</x:v>
      </x:c>
    </x:row>
    <x:row r="39" ht="25" customHeight="1">
      <x:c r="A39" s="982"/>
      <x:c r="B39" s="982"/>
      <x:c r="C39" s="982"/>
      <x:c r="D39" s="982"/>
      <x:c r="E39" s="997"/>
      <x:c r="F39" s="997"/>
      <x:c r="G39" s="1002" t="str">
        <x:f>IF(OR(B39="",D39="",IF(C39="",K39,C39)=""),"",B39*IF(C39="",K39,C39)*D39*F39)</x:f>
      </x:c>
      <x:c r="H39" s="1002" t="str">
        <x:f>IF(OR(B39="",IF(C39="",K39,C39)=""),"",B39*IF(C39="",K39,C39))</x:f>
      </x:c>
      <x:c r="I39" s="982"/>
      <x:c r="J39" s="982"/>
      <x:c r="K39" s="990" t="str">
        <x:f>IFERROR(INDEX($N$6:$N$205,MATCH(A39,$L$6:$L$205,0)),"")</x:f>
      </x:c>
      <x:c r="L39" s="207" t="str">
        <x:v>Téléviseur LED 43 pouces</x:v>
      </x:c>
      <x:c r="M39" s="207" t="str">
        <x:v>Audiovisuel</x:v>
      </x:c>
      <x:c r="N39" s="207" t="n">
        <x:v>100</x:v>
      </x:c>
      <x:c r="O39" s="207" t="str">
        <x:v>Repère indicatif — confirmer la plaque signalétique; démarrage à vérifier si moteur</x:v>
      </x:c>
    </x:row>
    <x:row r="40" ht="25" customHeight="1">
      <x:c r="A40" s="982"/>
      <x:c r="B40" s="982"/>
      <x:c r="C40" s="982"/>
      <x:c r="D40" s="982"/>
      <x:c r="E40" s="997"/>
      <x:c r="F40" s="997"/>
      <x:c r="G40" s="1002" t="str">
        <x:f>IF(OR(B40="",D40="",IF(C40="",K40,C40)=""),"",B40*IF(C40="",K40,C40)*D40*F40)</x:f>
      </x:c>
      <x:c r="H40" s="1002" t="str">
        <x:f>IF(OR(B40="",IF(C40="",K40,C40)=""),"",B40*IF(C40="",K40,C40))</x:f>
      </x:c>
      <x:c r="I40" s="982"/>
      <x:c r="J40" s="982"/>
      <x:c r="K40" s="990" t="str">
        <x:f>IFERROR(INDEX($N$6:$N$205,MATCH(A40,$L$6:$L$205,0)),"")</x:f>
      </x:c>
      <x:c r="L40" s="207" t="str">
        <x:v>Téléviseur LED 55 pouces</x:v>
      </x:c>
      <x:c r="M40" s="207" t="str">
        <x:v>Audiovisuel</x:v>
      </x:c>
      <x:c r="N40" s="207" t="n">
        <x:v>150</x:v>
      </x:c>
      <x:c r="O40" s="207" t="str">
        <x:v>Repère indicatif — confirmer la plaque signalétique; démarrage à vérifier si moteur</x:v>
      </x:c>
    </x:row>
    <x:row r="41" ht="25" customHeight="1">
      <x:c r="A41" s="982"/>
      <x:c r="B41" s="982"/>
      <x:c r="C41" s="982"/>
      <x:c r="D41" s="982"/>
      <x:c r="E41" s="997"/>
      <x:c r="F41" s="997"/>
      <x:c r="G41" s="1002" t="str">
        <x:f>IF(OR(B41="",D41="",IF(C41="",K41,C41)=""),"",B41*IF(C41="",K41,C41)*D41*F41)</x:f>
      </x:c>
      <x:c r="H41" s="1002" t="str">
        <x:f>IF(OR(B41="",IF(C41="",K41,C41)=""),"",B41*IF(C41="",K41,C41))</x:f>
      </x:c>
      <x:c r="I41" s="982"/>
      <x:c r="J41" s="982"/>
      <x:c r="K41" s="990" t="str">
        <x:f>IFERROR(INDEX($N$6:$N$205,MATCH(A41,$L$6:$L$205,0)),"")</x:f>
      </x:c>
      <x:c r="L41" s="207" t="str">
        <x:v>Décodeur TV</x:v>
      </x:c>
      <x:c r="M41" s="207" t="str">
        <x:v>Audiovisuel</x:v>
      </x:c>
      <x:c r="N41" s="207" t="n">
        <x:v>20</x:v>
      </x:c>
      <x:c r="O41" s="207" t="str">
        <x:v>Repère indicatif — confirmer la plaque signalétique; démarrage à vérifier si moteur</x:v>
      </x:c>
    </x:row>
    <x:row r="42" ht="25" customHeight="1">
      <x:c r="A42" s="982"/>
      <x:c r="B42" s="982"/>
      <x:c r="C42" s="982"/>
      <x:c r="D42" s="982"/>
      <x:c r="E42" s="997"/>
      <x:c r="F42" s="997"/>
      <x:c r="G42" s="1002" t="str">
        <x:f>IF(OR(B42="",D42="",IF(C42="",K42,C42)=""),"",B42*IF(C42="",K42,C42)*D42*F42)</x:f>
      </x:c>
      <x:c r="H42" s="1002" t="str">
        <x:f>IF(OR(B42="",IF(C42="",K42,C42)=""),"",B42*IF(C42="",K42,C42))</x:f>
      </x:c>
      <x:c r="I42" s="982"/>
      <x:c r="J42" s="982"/>
      <x:c r="K42" s="990" t="str">
        <x:f>IFERROR(INDEX($N$6:$N$205,MATCH(A42,$L$6:$L$205,0)),"")</x:f>
      </x:c>
      <x:c r="L42" s="207" t="str">
        <x:v>Radio / chaîne compacte</x:v>
      </x:c>
      <x:c r="M42" s="207" t="str">
        <x:v>Audiovisuel</x:v>
      </x:c>
      <x:c r="N42" s="207" t="n">
        <x:v>40</x:v>
      </x:c>
      <x:c r="O42" s="207" t="str">
        <x:v>Repère indicatif — confirmer la plaque signalétique; démarrage à vérifier si moteur</x:v>
      </x:c>
    </x:row>
    <x:row r="43" ht="25" customHeight="1">
      <x:c r="A43" s="982"/>
      <x:c r="B43" s="982"/>
      <x:c r="C43" s="982"/>
      <x:c r="D43" s="982"/>
      <x:c r="E43" s="997"/>
      <x:c r="F43" s="997"/>
      <x:c r="G43" s="1002" t="str">
        <x:f>IF(OR(B43="",D43="",IF(C43="",K43,C43)=""),"",B43*IF(C43="",K43,C43)*D43*F43)</x:f>
      </x:c>
      <x:c r="H43" s="1002" t="str">
        <x:f>IF(OR(B43="",IF(C43="",K43,C43)=""),"",B43*IF(C43="",K43,C43))</x:f>
      </x:c>
      <x:c r="I43" s="982"/>
      <x:c r="J43" s="982"/>
      <x:c r="K43" s="990" t="str">
        <x:f>IFERROR(INDEX($N$6:$N$205,MATCH(A43,$L$6:$L$205,0)),"")</x:f>
      </x:c>
      <x:c r="L43" s="207" t="str">
        <x:v>Enceinte amplifiée</x:v>
      </x:c>
      <x:c r="M43" s="207" t="str">
        <x:v>Audiovisuel</x:v>
      </x:c>
      <x:c r="N43" s="207" t="n">
        <x:v>100</x:v>
      </x:c>
      <x:c r="O43" s="207" t="str">
        <x:v>Repère indicatif — confirmer la plaque signalétique; démarrage à vérifier si moteur</x:v>
      </x:c>
    </x:row>
    <x:row r="44" ht="25" customHeight="1">
      <x:c r="A44" s="982"/>
      <x:c r="B44" s="982"/>
      <x:c r="C44" s="982"/>
      <x:c r="D44" s="982"/>
      <x:c r="E44" s="997"/>
      <x:c r="F44" s="997"/>
      <x:c r="G44" s="1002" t="str">
        <x:f>IF(OR(B44="",D44="",IF(C44="",K44,C44)=""),"",B44*IF(C44="",K44,C44)*D44*F44)</x:f>
      </x:c>
      <x:c r="H44" s="1002" t="str">
        <x:f>IF(OR(B44="",IF(C44="",K44,C44)=""),"",B44*IF(C44="",K44,C44))</x:f>
      </x:c>
      <x:c r="I44" s="982"/>
      <x:c r="J44" s="982"/>
      <x:c r="K44" s="990" t="str">
        <x:f>IFERROR(INDEX($N$6:$N$205,MATCH(A44,$L$6:$L$205,0)),"")</x:f>
      </x:c>
      <x:c r="L44" s="207" t="str">
        <x:v>Console de jeu</x:v>
      </x:c>
      <x:c r="M44" s="207" t="str">
        <x:v>Informatique</x:v>
      </x:c>
      <x:c r="N44" s="207" t="n">
        <x:v>150</x:v>
      </x:c>
      <x:c r="O44" s="207" t="str">
        <x:v>Repère indicatif — confirmer la plaque signalétique; démarrage à vérifier si moteur</x:v>
      </x:c>
    </x:row>
    <x:row r="45" ht="25" customHeight="1">
      <x:c r="A45" s="982"/>
      <x:c r="B45" s="982"/>
      <x:c r="C45" s="982"/>
      <x:c r="D45" s="982"/>
      <x:c r="E45" s="997"/>
      <x:c r="F45" s="997"/>
      <x:c r="G45" s="1002" t="str">
        <x:f>IF(OR(B45="",D45="",IF(C45="",K45,C45)=""),"",B45*IF(C45="",K45,C45)*D45*F45)</x:f>
      </x:c>
      <x:c r="H45" s="1002" t="str">
        <x:f>IF(OR(B45="",IF(C45="",K45,C45)=""),"",B45*IF(C45="",K45,C45))</x:f>
      </x:c>
      <x:c r="I45" s="982"/>
      <x:c r="J45" s="982"/>
      <x:c r="K45" s="990" t="str">
        <x:f>IFERROR(INDEX($N$6:$N$205,MATCH(A45,$L$6:$L$205,0)),"")</x:f>
      </x:c>
      <x:c r="L45" s="207" t="str">
        <x:v>Ordinateur portable</x:v>
      </x:c>
      <x:c r="M45" s="207" t="str">
        <x:v>Informatique</x:v>
      </x:c>
      <x:c r="N45" s="207" t="n">
        <x:v>65</x:v>
      </x:c>
      <x:c r="O45" s="207" t="str">
        <x:v>Repère indicatif — confirmer la plaque signalétique; démarrage à vérifier si moteur</x:v>
      </x:c>
    </x:row>
    <x:row r="46" ht="25" customHeight="1">
      <x:c r="A46" s="982"/>
      <x:c r="B46" s="982"/>
      <x:c r="C46" s="982"/>
      <x:c r="D46" s="982"/>
      <x:c r="E46" s="997"/>
      <x:c r="F46" s="997"/>
      <x:c r="G46" s="1002" t="str">
        <x:f>IF(OR(B46="",D46="",IF(C46="",K46,C46)=""),"",B46*IF(C46="",K46,C46)*D46*F46)</x:f>
      </x:c>
      <x:c r="H46" s="1002" t="str">
        <x:f>IF(OR(B46="",IF(C46="",K46,C46)=""),"",B46*IF(C46="",K46,C46))</x:f>
      </x:c>
      <x:c r="I46" s="982"/>
      <x:c r="J46" s="982"/>
      <x:c r="K46" s="990" t="str">
        <x:f>IFERROR(INDEX($N$6:$N$205,MATCH(A46,$L$6:$L$205,0)),"")</x:f>
      </x:c>
      <x:c r="L46" s="207" t="str">
        <x:v>Ordinateur portable puissant</x:v>
      </x:c>
      <x:c r="M46" s="207" t="str">
        <x:v>Informatique</x:v>
      </x:c>
      <x:c r="N46" s="207" t="n">
        <x:v>120</x:v>
      </x:c>
      <x:c r="O46" s="207" t="str">
        <x:v>Repère indicatif — confirmer la plaque signalétique; démarrage à vérifier si moteur</x:v>
      </x:c>
    </x:row>
    <x:row r="47" ht="25" customHeight="1">
      <x:c r="A47" s="982"/>
      <x:c r="B47" s="982"/>
      <x:c r="C47" s="982"/>
      <x:c r="D47" s="982"/>
      <x:c r="E47" s="997"/>
      <x:c r="F47" s="997"/>
      <x:c r="G47" s="1002" t="str">
        <x:f>IF(OR(B47="",D47="",IF(C47="",K47,C47)=""),"",B47*IF(C47="",K47,C47)*D47*F47)</x:f>
      </x:c>
      <x:c r="H47" s="1002" t="str">
        <x:f>IF(OR(B47="",IF(C47="",K47,C47)=""),"",B47*IF(C47="",K47,C47))</x:f>
      </x:c>
      <x:c r="I47" s="982"/>
      <x:c r="J47" s="982"/>
      <x:c r="K47" s="990" t="str">
        <x:f>IFERROR(INDEX($N$6:$N$205,MATCH(A47,$L$6:$L$205,0)),"")</x:f>
      </x:c>
      <x:c r="L47" s="207" t="str">
        <x:v>Ordinateur de bureau + écran</x:v>
      </x:c>
      <x:c r="M47" s="207" t="str">
        <x:v>Informatique</x:v>
      </x:c>
      <x:c r="N47" s="207" t="n">
        <x:v>250</x:v>
      </x:c>
      <x:c r="O47" s="207" t="str">
        <x:v>Repère indicatif — confirmer la plaque signalétique; démarrage à vérifier si moteur</x:v>
      </x:c>
    </x:row>
    <x:row r="48" ht="25" customHeight="1">
      <x:c r="A48" s="982"/>
      <x:c r="B48" s="982"/>
      <x:c r="C48" s="982"/>
      <x:c r="D48" s="982"/>
      <x:c r="E48" s="997"/>
      <x:c r="F48" s="997"/>
      <x:c r="G48" s="1002" t="str">
        <x:f>IF(OR(B48="",D48="",IF(C48="",K48,C48)=""),"",B48*IF(C48="",K48,C48)*D48*F48)</x:f>
      </x:c>
      <x:c r="H48" s="1002" t="str">
        <x:f>IF(OR(B48="",IF(C48="",K48,C48)=""),"",B48*IF(C48="",K48,C48))</x:f>
      </x:c>
      <x:c r="I48" s="982"/>
      <x:c r="J48" s="982"/>
      <x:c r="K48" s="990" t="str">
        <x:f>IFERROR(INDEX($N$6:$N$205,MATCH(A48,$L$6:$L$205,0)),"")</x:f>
      </x:c>
      <x:c r="L48" s="207" t="str">
        <x:v>Écran informatique</x:v>
      </x:c>
      <x:c r="M48" s="207" t="str">
        <x:v>Informatique</x:v>
      </x:c>
      <x:c r="N48" s="207" t="n">
        <x:v>40</x:v>
      </x:c>
      <x:c r="O48" s="207" t="str">
        <x:v>Repère indicatif — confirmer la plaque signalétique; démarrage à vérifier si moteur</x:v>
      </x:c>
    </x:row>
    <x:row r="49" ht="25" customHeight="1">
      <x:c r="A49" s="982"/>
      <x:c r="B49" s="982"/>
      <x:c r="C49" s="982"/>
      <x:c r="D49" s="982"/>
      <x:c r="E49" s="997"/>
      <x:c r="F49" s="997"/>
      <x:c r="G49" s="1002" t="str">
        <x:f>IF(OR(B49="",D49="",IF(C49="",K49,C49)=""),"",B49*IF(C49="",K49,C49)*D49*F49)</x:f>
      </x:c>
      <x:c r="H49" s="1002" t="str">
        <x:f>IF(OR(B49="",IF(C49="",K49,C49)=""),"",B49*IF(C49="",K49,C49))</x:f>
      </x:c>
      <x:c r="I49" s="982"/>
      <x:c r="J49" s="982"/>
      <x:c r="K49" s="990" t="str">
        <x:f>IFERROR(INDEX($N$6:$N$205,MATCH(A49,$L$6:$L$205,0)),"")</x:f>
      </x:c>
      <x:c r="L49" s="207" t="str">
        <x:v>Imprimante jet d’encre</x:v>
      </x:c>
      <x:c r="M49" s="207" t="str">
        <x:v>Informatique</x:v>
      </x:c>
      <x:c r="N49" s="207" t="n">
        <x:v>30</x:v>
      </x:c>
      <x:c r="O49" s="207" t="str">
        <x:v>Repère indicatif — confirmer la plaque signalétique; démarrage à vérifier si moteur</x:v>
      </x:c>
    </x:row>
    <x:row r="50" ht="25" customHeight="1">
      <x:c r="A50" s="982"/>
      <x:c r="B50" s="982"/>
      <x:c r="C50" s="982"/>
      <x:c r="D50" s="982"/>
      <x:c r="E50" s="997"/>
      <x:c r="F50" s="997"/>
      <x:c r="G50" s="1002" t="str">
        <x:f>IF(OR(B50="",D50="",IF(C50="",K50,C50)=""),"",B50*IF(C50="",K50,C50)*D50*F50)</x:f>
      </x:c>
      <x:c r="H50" s="1002" t="str">
        <x:f>IF(OR(B50="",IF(C50="",K50,C50)=""),"",B50*IF(C50="",K50,C50))</x:f>
      </x:c>
      <x:c r="I50" s="982"/>
      <x:c r="J50" s="982"/>
      <x:c r="K50" s="990" t="str">
        <x:f>IFERROR(INDEX($N$6:$N$205,MATCH(A50,$L$6:$L$205,0)),"")</x:f>
      </x:c>
      <x:c r="L50" s="207" t="str">
        <x:v>Imprimante laser</x:v>
      </x:c>
      <x:c r="M50" s="207" t="str">
        <x:v>Informatique</x:v>
      </x:c>
      <x:c r="N50" s="207" t="n">
        <x:v>500</x:v>
      </x:c>
      <x:c r="O50" s="207" t="str">
        <x:v>Repère indicatif — confirmer la plaque signalétique; démarrage à vérifier si moteur</x:v>
      </x:c>
    </x:row>
    <x:row r="51" ht="25" customHeight="1">
      <x:c r="A51" s="982"/>
      <x:c r="B51" s="982"/>
      <x:c r="C51" s="982"/>
      <x:c r="D51" s="982"/>
      <x:c r="E51" s="997"/>
      <x:c r="F51" s="997"/>
      <x:c r="G51" s="1002" t="str">
        <x:f>IF(OR(B51="",D51="",IF(C51="",K51,C51)=""),"",B51*IF(C51="",K51,C51)*D51*F51)</x:f>
      </x:c>
      <x:c r="H51" s="1002" t="str">
        <x:f>IF(OR(B51="",IF(C51="",K51,C51)=""),"",B51*IF(C51="",K51,C51))</x:f>
      </x:c>
      <x:c r="I51" s="982"/>
      <x:c r="J51" s="982"/>
      <x:c r="K51" s="990" t="str">
        <x:f>IFERROR(INDEX($N$6:$N$205,MATCH(A51,$L$6:$L$205,0)),"")</x:f>
      </x:c>
      <x:c r="L51" s="207" t="str">
        <x:v>Routeur / box Internet</x:v>
      </x:c>
      <x:c r="M51" s="207" t="str">
        <x:v>Réseau</x:v>
      </x:c>
      <x:c r="N51" s="207" t="n">
        <x:v>12</x:v>
      </x:c>
      <x:c r="O51" s="207" t="str">
        <x:v>Repère indicatif — confirmer la plaque signalétique; démarrage à vérifier si moteur</x:v>
      </x:c>
    </x:row>
    <x:row r="52" ht="25" customHeight="1">
      <x:c r="A52" s="982"/>
      <x:c r="B52" s="982"/>
      <x:c r="C52" s="982"/>
      <x:c r="D52" s="982"/>
      <x:c r="E52" s="997"/>
      <x:c r="F52" s="997"/>
      <x:c r="G52" s="1002" t="str">
        <x:f>IF(OR(B52="",D52="",IF(C52="",K52,C52)=""),"",B52*IF(C52="",K52,C52)*D52*F52)</x:f>
      </x:c>
      <x:c r="H52" s="1002" t="str">
        <x:f>IF(OR(B52="",IF(C52="",K52,C52)=""),"",B52*IF(C52="",K52,C52))</x:f>
      </x:c>
      <x:c r="I52" s="982"/>
      <x:c r="J52" s="982"/>
      <x:c r="K52" s="990" t="str">
        <x:f>IFERROR(INDEX($N$6:$N$205,MATCH(A52,$L$6:$L$205,0)),"")</x:f>
      </x:c>
      <x:c r="L52" s="207" t="str">
        <x:v>Switch réseau 8 ports</x:v>
      </x:c>
      <x:c r="M52" s="207" t="str">
        <x:v>Réseau</x:v>
      </x:c>
      <x:c r="N52" s="207" t="n">
        <x:v>20</x:v>
      </x:c>
      <x:c r="O52" s="207" t="str">
        <x:v>Repère indicatif — confirmer la plaque signalétique; démarrage à vérifier si moteur</x:v>
      </x:c>
    </x:row>
    <x:row r="53" ht="25" customHeight="1">
      <x:c r="A53" s="982"/>
      <x:c r="B53" s="982"/>
      <x:c r="C53" s="982"/>
      <x:c r="D53" s="982"/>
      <x:c r="E53" s="997"/>
      <x:c r="F53" s="997"/>
      <x:c r="G53" s="1002" t="str">
        <x:f>IF(OR(B53="",D53="",IF(C53="",K53,C53)=""),"",B53*IF(C53="",K53,C53)*D53*F53)</x:f>
      </x:c>
      <x:c r="H53" s="1002" t="str">
        <x:f>IF(OR(B53="",IF(C53="",K53,C53)=""),"",B53*IF(C53="",K53,C53))</x:f>
      </x:c>
      <x:c r="I53" s="982"/>
      <x:c r="J53" s="982"/>
      <x:c r="K53" s="990" t="str">
        <x:f>IFERROR(INDEX($N$6:$N$205,MATCH(A53,$L$6:$L$205,0)),"")</x:f>
      </x:c>
      <x:c r="L53" s="207" t="str">
        <x:v>Modem fibre</x:v>
      </x:c>
      <x:c r="M53" s="207" t="str">
        <x:v>Réseau</x:v>
      </x:c>
      <x:c r="N53" s="207" t="n">
        <x:v>15</x:v>
      </x:c>
      <x:c r="O53" s="207" t="str">
        <x:v>Repère indicatif — confirmer la plaque signalétique; démarrage à vérifier si moteur</x:v>
      </x:c>
    </x:row>
    <x:row r="54" ht="25" customHeight="1">
      <x:c r="A54" s="982"/>
      <x:c r="B54" s="982"/>
      <x:c r="C54" s="982"/>
      <x:c r="D54" s="982"/>
      <x:c r="E54" s="997"/>
      <x:c r="F54" s="997"/>
      <x:c r="G54" s="1002" t="str">
        <x:f>IF(OR(B54="",D54="",IF(C54="",K54,C54)=""),"",B54*IF(C54="",K54,C54)*D54*F54)</x:f>
      </x:c>
      <x:c r="H54" s="1002" t="str">
        <x:f>IF(OR(B54="",IF(C54="",K54,C54)=""),"",B54*IF(C54="",K54,C54))</x:f>
      </x:c>
      <x:c r="I54" s="982"/>
      <x:c r="J54" s="982"/>
      <x:c r="K54" s="990" t="str">
        <x:f>IFERROR(INDEX($N$6:$N$205,MATCH(A54,$L$6:$L$205,0)),"")</x:f>
      </x:c>
      <x:c r="L54" s="207" t="str">
        <x:v>Caméra surveillance IP</x:v>
      </x:c>
      <x:c r="M54" s="207" t="str">
        <x:v>Sécurité</x:v>
      </x:c>
      <x:c r="N54" s="207" t="n">
        <x:v>10</x:v>
      </x:c>
      <x:c r="O54" s="207" t="str">
        <x:v>Repère indicatif — confirmer la plaque signalétique; démarrage à vérifier si moteur</x:v>
      </x:c>
    </x:row>
    <x:row r="55" ht="25" customHeight="1">
      <x:c r="A55" s="982"/>
      <x:c r="B55" s="982"/>
      <x:c r="C55" s="982"/>
      <x:c r="D55" s="982"/>
      <x:c r="E55" s="997"/>
      <x:c r="F55" s="997"/>
      <x:c r="G55" s="1002" t="str">
        <x:f>IF(OR(B55="",D55="",IF(C55="",K55,C55)=""),"",B55*IF(C55="",K55,C55)*D55*F55)</x:f>
      </x:c>
      <x:c r="H55" s="1002" t="str">
        <x:f>IF(OR(B55="",IF(C55="",K55,C55)=""),"",B55*IF(C55="",K55,C55))</x:f>
      </x:c>
      <x:c r="I55" s="982"/>
      <x:c r="J55" s="982"/>
      <x:c r="K55" s="990" t="str">
        <x:f>IFERROR(INDEX($N$6:$N$205,MATCH(A55,$L$6:$L$205,0)),"")</x:f>
      </x:c>
      <x:c r="L55" s="207" t="str">
        <x:v>Caméra CCTV analogique</x:v>
      </x:c>
      <x:c r="M55" s="207" t="str">
        <x:v>Sécurité</x:v>
      </x:c>
      <x:c r="N55" s="207" t="n">
        <x:v>8</x:v>
      </x:c>
      <x:c r="O55" s="207" t="str">
        <x:v>Repère indicatif — confirmer la plaque signalétique; démarrage à vérifier si moteur</x:v>
      </x:c>
    </x:row>
    <x:row r="56" ht="25" customHeight="1">
      <x:c r="A56" s="982"/>
      <x:c r="B56" s="982"/>
      <x:c r="C56" s="982"/>
      <x:c r="D56" s="982"/>
      <x:c r="E56" s="997"/>
      <x:c r="F56" s="997"/>
      <x:c r="G56" s="1002" t="str">
        <x:f>IF(OR(B56="",D56="",IF(C56="",K56,C56)=""),"",B56*IF(C56="",K56,C56)*D56*F56)</x:f>
      </x:c>
      <x:c r="H56" s="1002" t="str">
        <x:f>IF(OR(B56="",IF(C56="",K56,C56)=""),"",B56*IF(C56="",K56,C56))</x:f>
      </x:c>
      <x:c r="I56" s="982"/>
      <x:c r="J56" s="982"/>
      <x:c r="K56" s="990" t="str">
        <x:f>IFERROR(INDEX($N$6:$N$205,MATCH(A56,$L$6:$L$205,0)),"")</x:f>
      </x:c>
      <x:c r="L56" s="207" t="str">
        <x:v>Enregistreur NVR/DVR</x:v>
      </x:c>
      <x:c r="M56" s="207" t="str">
        <x:v>Sécurité</x:v>
      </x:c>
      <x:c r="N56" s="207" t="n">
        <x:v>30</x:v>
      </x:c>
      <x:c r="O56" s="207" t="str">
        <x:v>Repère indicatif — confirmer la plaque signalétique; démarrage à vérifier si moteur</x:v>
      </x:c>
    </x:row>
    <x:row r="57" ht="25" customHeight="1">
      <x:c r="A57" s="982"/>
      <x:c r="B57" s="982"/>
      <x:c r="C57" s="982"/>
      <x:c r="D57" s="982"/>
      <x:c r="E57" s="997"/>
      <x:c r="F57" s="997"/>
      <x:c r="G57" s="1002" t="str">
        <x:f>IF(OR(B57="",D57="",IF(C57="",K57,C57)=""),"",B57*IF(C57="",K57,C57)*D57*F57)</x:f>
      </x:c>
      <x:c r="H57" s="1002" t="str">
        <x:f>IF(OR(B57="",IF(C57="",K57,C57)=""),"",B57*IF(C57="",K57,C57))</x:f>
      </x:c>
      <x:c r="I57" s="982"/>
      <x:c r="J57" s="982"/>
      <x:c r="K57" s="990" t="str">
        <x:f>IFERROR(INDEX($N$6:$N$205,MATCH(A57,$L$6:$L$205,0)),"")</x:f>
      </x:c>
      <x:c r="L57" s="207" t="str">
        <x:v>Écran de surveillance</x:v>
      </x:c>
      <x:c r="M57" s="207" t="str">
        <x:v>Sécurité</x:v>
      </x:c>
      <x:c r="N57" s="207" t="n">
        <x:v>60</x:v>
      </x:c>
      <x:c r="O57" s="207" t="str">
        <x:v>Repère indicatif — confirmer la plaque signalétique; démarrage à vérifier si moteur</x:v>
      </x:c>
    </x:row>
    <x:row r="58" ht="25" customHeight="1">
      <x:c r="A58" s="982"/>
      <x:c r="B58" s="982"/>
      <x:c r="C58" s="982"/>
      <x:c r="D58" s="982"/>
      <x:c r="E58" s="997"/>
      <x:c r="F58" s="997"/>
      <x:c r="G58" s="1002" t="str">
        <x:f>IF(OR(B58="",D58="",IF(C58="",K58,C58)=""),"",B58*IF(C58="",K58,C58)*D58*F58)</x:f>
      </x:c>
      <x:c r="H58" s="1002" t="str">
        <x:f>IF(OR(B58="",IF(C58="",K58,C58)=""),"",B58*IF(C58="",K58,C58))</x:f>
      </x:c>
      <x:c r="I58" s="982"/>
      <x:c r="J58" s="982"/>
      <x:c r="K58" s="990" t="str">
        <x:f>IFERROR(INDEX($N$6:$N$205,MATCH(A58,$L$6:$L$205,0)),"")</x:f>
      </x:c>
      <x:c r="L58" s="207" t="str">
        <x:v>Alarme / centrale</x:v>
      </x:c>
      <x:c r="M58" s="207" t="str">
        <x:v>Sécurité</x:v>
      </x:c>
      <x:c r="N58" s="207" t="n">
        <x:v>15</x:v>
      </x:c>
      <x:c r="O58" s="207" t="str">
        <x:v>Repère indicatif — confirmer la plaque signalétique; démarrage à vérifier si moteur</x:v>
      </x:c>
    </x:row>
    <x:row r="59" ht="25" customHeight="1">
      <x:c r="A59" s="982"/>
      <x:c r="B59" s="982"/>
      <x:c r="C59" s="982"/>
      <x:c r="D59" s="982"/>
      <x:c r="E59" s="997"/>
      <x:c r="F59" s="997"/>
      <x:c r="G59" s="1002" t="str">
        <x:f>IF(OR(B59="",D59="",IF(C59="",K59,C59)=""),"",B59*IF(C59="",K59,C59)*D59*F59)</x:f>
      </x:c>
      <x:c r="H59" s="1002" t="str">
        <x:f>IF(OR(B59="",IF(C59="",K59,C59)=""),"",B59*IF(C59="",K59,C59))</x:f>
      </x:c>
      <x:c r="I59" s="982"/>
      <x:c r="J59" s="982"/>
      <x:c r="K59" s="990" t="str">
        <x:f>IFERROR(INDEX($N$6:$N$205,MATCH(A59,$L$6:$L$205,0)),"")</x:f>
      </x:c>
      <x:c r="L59" s="207" t="str">
        <x:v>Portail motorisé</x:v>
      </x:c>
      <x:c r="M59" s="207" t="str">
        <x:v>Sécurité</x:v>
      </x:c>
      <x:c r="N59" s="207" t="n">
        <x:v>500</x:v>
      </x:c>
      <x:c r="O59" s="207" t="str">
        <x:v>Repère indicatif — confirmer la plaque signalétique; démarrage à vérifier si moteur</x:v>
      </x:c>
    </x:row>
    <x:row r="60" ht="25" customHeight="1">
      <x:c r="A60" s="982"/>
      <x:c r="B60" s="982"/>
      <x:c r="C60" s="982"/>
      <x:c r="D60" s="982"/>
      <x:c r="E60" s="997"/>
      <x:c r="F60" s="997"/>
      <x:c r="G60" s="1002" t="str">
        <x:f>IF(OR(B60="",D60="",IF(C60="",K60,C60)=""),"",B60*IF(C60="",K60,C60)*D60*F60)</x:f>
      </x:c>
      <x:c r="H60" s="1002" t="str">
        <x:f>IF(OR(B60="",IF(C60="",K60,C60)=""),"",B60*IF(C60="",K60,C60))</x:f>
      </x:c>
      <x:c r="I60" s="982"/>
      <x:c r="J60" s="982"/>
      <x:c r="K60" s="990" t="str">
        <x:f>IFERROR(INDEX($N$6:$N$205,MATCH(A60,$L$6:$L$205,0)),"")</x:f>
      </x:c>
      <x:c r="L60" s="207" t="str">
        <x:v>Machine à laver petite</x:v>
      </x:c>
      <x:c r="M60" s="207" t="str">
        <x:v>Électroménager</x:v>
      </x:c>
      <x:c r="N60" s="207" t="n">
        <x:v>700</x:v>
      </x:c>
      <x:c r="O60" s="207" t="str">
        <x:v>Repère indicatif — confirmer la plaque signalétique; démarrage à vérifier si moteur</x:v>
      </x:c>
    </x:row>
    <x:row r="61" ht="25" customHeight="1">
      <x:c r="A61" s="982"/>
      <x:c r="B61" s="982"/>
      <x:c r="C61" s="982"/>
      <x:c r="D61" s="982"/>
      <x:c r="E61" s="997"/>
      <x:c r="F61" s="997"/>
      <x:c r="G61" s="1002" t="str">
        <x:f>IF(OR(B61="",D61="",IF(C61="",K61,C61)=""),"",B61*IF(C61="",K61,C61)*D61*F61)</x:f>
      </x:c>
      <x:c r="H61" s="1002" t="str">
        <x:f>IF(OR(B61="",IF(C61="",K61,C61)=""),"",B61*IF(C61="",K61,C61))</x:f>
      </x:c>
      <x:c r="I61" s="982"/>
      <x:c r="J61" s="982"/>
      <x:c r="K61" s="990" t="str">
        <x:f>IFERROR(INDEX($N$6:$N$205,MATCH(A61,$L$6:$L$205,0)),"")</x:f>
      </x:c>
      <x:c r="L61" s="207" t="str">
        <x:v>Machine à laver standard</x:v>
      </x:c>
      <x:c r="M61" s="207" t="str">
        <x:v>Électroménager</x:v>
      </x:c>
      <x:c r="N61" s="207" t="n">
        <x:v>1200</x:v>
      </x:c>
      <x:c r="O61" s="207" t="str">
        <x:v>Repère indicatif — confirmer la plaque signalétique; démarrage à vérifier si moteur</x:v>
      </x:c>
    </x:row>
    <x:row r="62" ht="25" customHeight="1">
      <x:c r="A62" s="982"/>
      <x:c r="B62" s="982"/>
      <x:c r="C62" s="982"/>
      <x:c r="D62" s="982"/>
      <x:c r="E62" s="997"/>
      <x:c r="F62" s="997"/>
      <x:c r="G62" s="1002" t="str">
        <x:f>IF(OR(B62="",D62="",IF(C62="",K62,C62)=""),"",B62*IF(C62="",K62,C62)*D62*F62)</x:f>
      </x:c>
      <x:c r="H62" s="1002" t="str">
        <x:f>IF(OR(B62="",IF(C62="",K62,C62)=""),"",B62*IF(C62="",K62,C62))</x:f>
      </x:c>
      <x:c r="I62" s="982"/>
      <x:c r="J62" s="982"/>
      <x:c r="K62" s="990" t="str">
        <x:f>IFERROR(INDEX($N$6:$N$205,MATCH(A62,$L$6:$L$205,0)),"")</x:f>
      </x:c>
      <x:c r="L62" s="207" t="str">
        <x:v>Machine à laver grande</x:v>
      </x:c>
      <x:c r="M62" s="207" t="str">
        <x:v>Électroménager</x:v>
      </x:c>
      <x:c r="N62" s="207" t="n">
        <x:v>2000</x:v>
      </x:c>
      <x:c r="O62" s="207" t="str">
        <x:v>Repère indicatif — confirmer la plaque signalétique; démarrage à vérifier si moteur</x:v>
      </x:c>
    </x:row>
    <x:row r="63" ht="25" customHeight="1">
      <x:c r="A63" s="982"/>
      <x:c r="B63" s="982"/>
      <x:c r="C63" s="982"/>
      <x:c r="D63" s="982"/>
      <x:c r="E63" s="997"/>
      <x:c r="F63" s="997"/>
      <x:c r="G63" s="1002" t="str">
        <x:f>IF(OR(B63="",D63="",IF(C63="",K63,C63)=""),"",B63*IF(C63="",K63,C63)*D63*F63)</x:f>
      </x:c>
      <x:c r="H63" s="1002" t="str">
        <x:f>IF(OR(B63="",IF(C63="",K63,C63)=""),"",B63*IF(C63="",K63,C63))</x:f>
      </x:c>
      <x:c r="I63" s="982"/>
      <x:c r="J63" s="982"/>
      <x:c r="K63" s="990" t="str">
        <x:f>IFERROR(INDEX($N$6:$N$205,MATCH(A63,$L$6:$L$205,0)),"")</x:f>
      </x:c>
      <x:c r="L63" s="207" t="str">
        <x:v>Sèche-linge</x:v>
      </x:c>
      <x:c r="M63" s="207" t="str">
        <x:v>Électroménager</x:v>
      </x:c>
      <x:c r="N63" s="207" t="n">
        <x:v>2500</x:v>
      </x:c>
      <x:c r="O63" s="207" t="str">
        <x:v>Repère indicatif — confirmer la plaque signalétique; démarrage à vérifier si moteur</x:v>
      </x:c>
    </x:row>
    <x:row r="64" ht="25" customHeight="1">
      <x:c r="A64" s="982"/>
      <x:c r="B64" s="982"/>
      <x:c r="C64" s="982"/>
      <x:c r="D64" s="982"/>
      <x:c r="E64" s="997"/>
      <x:c r="F64" s="997"/>
      <x:c r="G64" s="1002" t="str">
        <x:f>IF(OR(B64="",D64="",IF(C64="",K64,C64)=""),"",B64*IF(C64="",K64,C64)*D64*F64)</x:f>
      </x:c>
      <x:c r="H64" s="1002" t="str">
        <x:f>IF(OR(B64="",IF(C64="",K64,C64)=""),"",B64*IF(C64="",K64,C64))</x:f>
      </x:c>
      <x:c r="I64" s="982"/>
      <x:c r="J64" s="982"/>
      <x:c r="K64" s="990" t="str">
        <x:f>IFERROR(INDEX($N$6:$N$205,MATCH(A64,$L$6:$L$205,0)),"")</x:f>
      </x:c>
      <x:c r="L64" s="207" t="str">
        <x:v>Fer à repasser</x:v>
      </x:c>
      <x:c r="M64" s="207" t="str">
        <x:v>Électroménager</x:v>
      </x:c>
      <x:c r="N64" s="207" t="n">
        <x:v>1800</x:v>
      </x:c>
      <x:c r="O64" s="207" t="str">
        <x:v>Repère indicatif — confirmer la plaque signalétique; démarrage à vérifier si moteur</x:v>
      </x:c>
    </x:row>
    <x:row r="65" ht="25" customHeight="1">
      <x:c r="A65" s="982"/>
      <x:c r="B65" s="982"/>
      <x:c r="C65" s="982"/>
      <x:c r="D65" s="982"/>
      <x:c r="E65" s="997"/>
      <x:c r="F65" s="997"/>
      <x:c r="G65" s="1002" t="str">
        <x:f>IF(OR(B65="",D65="",IF(C65="",K65,C65)=""),"",B65*IF(C65="",K65,C65)*D65*F65)</x:f>
      </x:c>
      <x:c r="H65" s="1002" t="str">
        <x:f>IF(OR(B65="",IF(C65="",K65,C65)=""),"",B65*IF(C65="",K65,C65))</x:f>
      </x:c>
      <x:c r="I65" s="982"/>
      <x:c r="J65" s="982"/>
      <x:c r="K65" s="990" t="str">
        <x:f>IFERROR(INDEX($N$6:$N$205,MATCH(A65,$L$6:$L$205,0)),"")</x:f>
      </x:c>
      <x:c r="L65" s="207" t="str">
        <x:v>Aspirateur</x:v>
      </x:c>
      <x:c r="M65" s="207" t="str">
        <x:v>Électroménager</x:v>
      </x:c>
      <x:c r="N65" s="207" t="n">
        <x:v>1200</x:v>
      </x:c>
      <x:c r="O65" s="207" t="str">
        <x:v>Repère indicatif — confirmer la plaque signalétique; démarrage à vérifier si moteur</x:v>
      </x:c>
    </x:row>
    <x:row r="66" ht="25" customHeight="1">
      <x:c r="A66" s="982"/>
      <x:c r="B66" s="982"/>
      <x:c r="C66" s="982"/>
      <x:c r="D66" s="982"/>
      <x:c r="E66" s="997"/>
      <x:c r="F66" s="997"/>
      <x:c r="G66" s="1002" t="str">
        <x:f>IF(OR(B66="",D66="",IF(C66="",K66,C66)=""),"",B66*IF(C66="",K66,C66)*D66*F66)</x:f>
      </x:c>
      <x:c r="H66" s="1002" t="str">
        <x:f>IF(OR(B66="",IF(C66="",K66,C66)=""),"",B66*IF(C66="",K66,C66))</x:f>
      </x:c>
      <x:c r="I66" s="982"/>
      <x:c r="J66" s="982"/>
      <x:c r="K66" s="990" t="str">
        <x:f>IFERROR(INDEX($N$6:$N$205,MATCH(A66,$L$6:$L$205,0)),"")</x:f>
      </x:c>
      <x:c r="L66" s="207" t="str">
        <x:v>Mixeur / blender</x:v>
      </x:c>
      <x:c r="M66" s="207" t="str">
        <x:v>Cuisine</x:v>
      </x:c>
      <x:c r="N66" s="207" t="n">
        <x:v>400</x:v>
      </x:c>
      <x:c r="O66" s="207" t="str">
        <x:v>Repère indicatif — confirmer la plaque signalétique; démarrage à vérifier si moteur</x:v>
      </x:c>
    </x:row>
    <x:row r="67" ht="25" customHeight="1">
      <x:c r="A67" s="982"/>
      <x:c r="B67" s="982"/>
      <x:c r="C67" s="982"/>
      <x:c r="D67" s="982"/>
      <x:c r="E67" s="997"/>
      <x:c r="F67" s="997"/>
      <x:c r="G67" s="1002" t="str">
        <x:f>IF(OR(B67="",D67="",IF(C67="",K67,C67)=""),"",B67*IF(C67="",K67,C67)*D67*F67)</x:f>
      </x:c>
      <x:c r="H67" s="1002" t="str">
        <x:f>IF(OR(B67="",IF(C67="",K67,C67)=""),"",B67*IF(C67="",K67,C67))</x:f>
      </x:c>
      <x:c r="I67" s="982"/>
      <x:c r="J67" s="982"/>
      <x:c r="K67" s="990" t="str">
        <x:f>IFERROR(INDEX($N$6:$N$205,MATCH(A67,$L$6:$L$205,0)),"")</x:f>
      </x:c>
      <x:c r="L67" s="207" t="str">
        <x:v>Robot de cuisine</x:v>
      </x:c>
      <x:c r="M67" s="207" t="str">
        <x:v>Cuisine</x:v>
      </x:c>
      <x:c r="N67" s="207" t="n">
        <x:v>800</x:v>
      </x:c>
      <x:c r="O67" s="207" t="str">
        <x:v>Repère indicatif — confirmer la plaque signalétique; démarrage à vérifier si moteur</x:v>
      </x:c>
    </x:row>
    <x:row r="68" ht="25" customHeight="1">
      <x:c r="A68" s="982"/>
      <x:c r="B68" s="982"/>
      <x:c r="C68" s="982"/>
      <x:c r="D68" s="982"/>
      <x:c r="E68" s="997"/>
      <x:c r="F68" s="997"/>
      <x:c r="G68" s="1002" t="str">
        <x:f>IF(OR(B68="",D68="",IF(C68="",K68,C68)=""),"",B68*IF(C68="",K68,C68)*D68*F68)</x:f>
      </x:c>
      <x:c r="H68" s="1002" t="str">
        <x:f>IF(OR(B68="",IF(C68="",K68,C68)=""),"",B68*IF(C68="",K68,C68))</x:f>
      </x:c>
      <x:c r="I68" s="982"/>
      <x:c r="J68" s="982"/>
      <x:c r="K68" s="990" t="str">
        <x:f>IFERROR(INDEX($N$6:$N$205,MATCH(A68,$L$6:$L$205,0)),"")</x:f>
      </x:c>
      <x:c r="L68" s="207" t="str">
        <x:v>Réfrigérateur bar</x:v>
      </x:c>
      <x:c r="M68" s="207" t="str">
        <x:v>Froid</x:v>
      </x:c>
      <x:c r="N68" s="207" t="n">
        <x:v>90</x:v>
      </x:c>
      <x:c r="O68" s="207" t="str">
        <x:v>Repère indicatif — confirmer la plaque signalétique; démarrage à vérifier si moteur</x:v>
      </x:c>
    </x:row>
    <x:row r="69" ht="25" customHeight="1">
      <x:c r="A69" s="982"/>
      <x:c r="B69" s="982"/>
      <x:c r="C69" s="982"/>
      <x:c r="D69" s="982"/>
      <x:c r="E69" s="997"/>
      <x:c r="F69" s="997"/>
      <x:c r="G69" s="1002" t="str">
        <x:f>IF(OR(B69="",D69="",IF(C69="",K69,C69)=""),"",B69*IF(C69="",K69,C69)*D69*F69)</x:f>
      </x:c>
      <x:c r="H69" s="1002" t="str">
        <x:f>IF(OR(B69="",IF(C69="",K69,C69)=""),"",B69*IF(C69="",K69,C69))</x:f>
      </x:c>
      <x:c r="I69" s="982"/>
      <x:c r="J69" s="982"/>
      <x:c r="K69" s="990" t="str">
        <x:f>IFERROR(INDEX($N$6:$N$205,MATCH(A69,$L$6:$L$205,0)),"")</x:f>
      </x:c>
      <x:c r="L69" s="207" t="str">
        <x:v>Micro-ondes petit</x:v>
      </x:c>
      <x:c r="M69" s="207" t="str">
        <x:v>Cuisine</x:v>
      </x:c>
      <x:c r="N69" s="207" t="n">
        <x:v>900</x:v>
      </x:c>
      <x:c r="O69" s="207" t="str">
        <x:v>Repère indicatif — confirmer la plaque signalétique; démarrage à vérifier si moteur</x:v>
      </x:c>
    </x:row>
    <x:row r="70" ht="25" customHeight="1">
      <x:c r="A70" s="982"/>
      <x:c r="B70" s="982"/>
      <x:c r="C70" s="982"/>
      <x:c r="D70" s="982"/>
      <x:c r="E70" s="997"/>
      <x:c r="F70" s="997"/>
      <x:c r="G70" s="1002" t="str">
        <x:f>IF(OR(B70="",D70="",IF(C70="",K70,C70)=""),"",B70*IF(C70="",K70,C70)*D70*F70)</x:f>
      </x:c>
      <x:c r="H70" s="1002" t="str">
        <x:f>IF(OR(B70="",IF(C70="",K70,C70)=""),"",B70*IF(C70="",K70,C70))</x:f>
      </x:c>
      <x:c r="I70" s="982"/>
      <x:c r="J70" s="982"/>
      <x:c r="K70" s="990" t="str">
        <x:f>IFERROR(INDEX($N$6:$N$205,MATCH(A70,$L$6:$L$205,0)),"")</x:f>
      </x:c>
      <x:c r="L70" s="207" t="str">
        <x:v>Micro-ondes standard</x:v>
      </x:c>
      <x:c r="M70" s="207" t="str">
        <x:v>Cuisine</x:v>
      </x:c>
      <x:c r="N70" s="207" t="n">
        <x:v>1200</x:v>
      </x:c>
      <x:c r="O70" s="207" t="str">
        <x:v>Repère indicatif — confirmer la plaque signalétique; démarrage à vérifier si moteur</x:v>
      </x:c>
    </x:row>
    <x:row r="71" ht="25" customHeight="1">
      <x:c r="A71" s="982"/>
      <x:c r="B71" s="982"/>
      <x:c r="C71" s="982"/>
      <x:c r="D71" s="982"/>
      <x:c r="E71" s="997"/>
      <x:c r="F71" s="997"/>
      <x:c r="G71" s="1002" t="str">
        <x:f>IF(OR(B71="",D71="",IF(C71="",K71,C71)=""),"",B71*IF(C71="",K71,C71)*D71*F71)</x:f>
      </x:c>
      <x:c r="H71" s="1002" t="str">
        <x:f>IF(OR(B71="",IF(C71="",K71,C71)=""),"",B71*IF(C71="",K71,C71))</x:f>
      </x:c>
      <x:c r="I71" s="982"/>
      <x:c r="J71" s="982"/>
      <x:c r="K71" s="990" t="str">
        <x:f>IFERROR(INDEX($N$6:$N$205,MATCH(A71,$L$6:$L$205,0)),"")</x:f>
      </x:c>
      <x:c r="L71" s="207" t="str">
        <x:v>Four électrique compact</x:v>
      </x:c>
      <x:c r="M71" s="207" t="str">
        <x:v>Cuisine</x:v>
      </x:c>
      <x:c r="N71" s="207" t="n">
        <x:v>1500</x:v>
      </x:c>
      <x:c r="O71" s="207" t="str">
        <x:v>Repère indicatif — confirmer la plaque signalétique; démarrage à vérifier si moteur</x:v>
      </x:c>
    </x:row>
    <x:row r="72" ht="25" customHeight="1">
      <x:c r="A72" s="982"/>
      <x:c r="B72" s="982"/>
      <x:c r="C72" s="982"/>
      <x:c r="D72" s="982"/>
      <x:c r="E72" s="997"/>
      <x:c r="F72" s="997"/>
      <x:c r="G72" s="1002" t="str">
        <x:f>IF(OR(B72="",D72="",IF(C72="",K72,C72)=""),"",B72*IF(C72="",K72,C72)*D72*F72)</x:f>
      </x:c>
      <x:c r="H72" s="1002" t="str">
        <x:f>IF(OR(B72="",IF(C72="",K72,C72)=""),"",B72*IF(C72="",K72,C72))</x:f>
      </x:c>
      <x:c r="I72" s="982"/>
      <x:c r="J72" s="982"/>
      <x:c r="K72" s="990" t="str">
        <x:f>IFERROR(INDEX($N$6:$N$205,MATCH(A72,$L$6:$L$205,0)),"")</x:f>
      </x:c>
      <x:c r="L72" s="207" t="str">
        <x:v>Four électrique standard</x:v>
      </x:c>
      <x:c r="M72" s="207" t="str">
        <x:v>Cuisine</x:v>
      </x:c>
      <x:c r="N72" s="207" t="n">
        <x:v>2500</x:v>
      </x:c>
      <x:c r="O72" s="207" t="str">
        <x:v>Repère indicatif — confirmer la plaque signalétique; démarrage à vérifier si moteur</x:v>
      </x:c>
    </x:row>
    <x:row r="73" ht="25" customHeight="1">
      <x:c r="A73" s="982"/>
      <x:c r="B73" s="982"/>
      <x:c r="C73" s="982"/>
      <x:c r="D73" s="982"/>
      <x:c r="E73" s="997"/>
      <x:c r="F73" s="997"/>
      <x:c r="G73" s="1002" t="str">
        <x:f>IF(OR(B73="",D73="",IF(C73="",K73,C73)=""),"",B73*IF(C73="",K73,C73)*D73*F73)</x:f>
      </x:c>
      <x:c r="H73" s="1002" t="str">
        <x:f>IF(OR(B73="",IF(C73="",K73,C73)=""),"",B73*IF(C73="",K73,C73))</x:f>
      </x:c>
      <x:c r="I73" s="982"/>
      <x:c r="J73" s="982"/>
      <x:c r="K73" s="990" t="str">
        <x:f>IFERROR(INDEX($N$6:$N$205,MATCH(A73,$L$6:$L$205,0)),"")</x:f>
      </x:c>
      <x:c r="L73" s="207" t="str">
        <x:v>Plaque électrique 1 foyer</x:v>
      </x:c>
      <x:c r="M73" s="207" t="str">
        <x:v>Cuisine</x:v>
      </x:c>
      <x:c r="N73" s="207" t="n">
        <x:v>1500</x:v>
      </x:c>
      <x:c r="O73" s="207" t="str">
        <x:v>Repère indicatif — confirmer la plaque signalétique; démarrage à vérifier si moteur</x:v>
      </x:c>
    </x:row>
    <x:row r="74" ht="25" customHeight="1">
      <x:c r="A74" s="982"/>
      <x:c r="B74" s="982"/>
      <x:c r="C74" s="982"/>
      <x:c r="D74" s="982"/>
      <x:c r="E74" s="997"/>
      <x:c r="F74" s="997"/>
      <x:c r="G74" s="1002" t="str">
        <x:f>IF(OR(B74="",D74="",IF(C74="",K74,C74)=""),"",B74*IF(C74="",K74,C74)*D74*F74)</x:f>
      </x:c>
      <x:c r="H74" s="1002" t="str">
        <x:f>IF(OR(B74="",IF(C74="",K74,C74)=""),"",B74*IF(C74="",K74,C74))</x:f>
      </x:c>
      <x:c r="I74" s="982"/>
      <x:c r="J74" s="982"/>
      <x:c r="K74" s="990" t="str">
        <x:f>IFERROR(INDEX($N$6:$N$205,MATCH(A74,$L$6:$L$205,0)),"")</x:f>
      </x:c>
      <x:c r="L74" s="207" t="str">
        <x:v>Plaque électrique 2 foyers</x:v>
      </x:c>
      <x:c r="M74" s="207" t="str">
        <x:v>Cuisine</x:v>
      </x:c>
      <x:c r="N74" s="207" t="n">
        <x:v>3000</x:v>
      </x:c>
      <x:c r="O74" s="207" t="str">
        <x:v>Repère indicatif — confirmer la plaque signalétique; démarrage à vérifier si moteur</x:v>
      </x:c>
    </x:row>
    <x:row r="75" ht="25" customHeight="1">
      <x:c r="A75" s="982"/>
      <x:c r="B75" s="982"/>
      <x:c r="C75" s="982"/>
      <x:c r="D75" s="982"/>
      <x:c r="E75" s="997"/>
      <x:c r="F75" s="997"/>
      <x:c r="G75" s="1002" t="str">
        <x:f>IF(OR(B75="",D75="",IF(C75="",K75,C75)=""),"",B75*IF(C75="",K75,C75)*D75*F75)</x:f>
      </x:c>
      <x:c r="H75" s="1002" t="str">
        <x:f>IF(OR(B75="",IF(C75="",K75,C75)=""),"",B75*IF(C75="",K75,C75))</x:f>
      </x:c>
      <x:c r="I75" s="982"/>
      <x:c r="J75" s="982"/>
      <x:c r="K75" s="990" t="str">
        <x:f>IFERROR(INDEX($N$6:$N$205,MATCH(A75,$L$6:$L$205,0)),"")</x:f>
      </x:c>
      <x:c r="L75" s="207" t="str">
        <x:v>Bouilloire électrique</x:v>
      </x:c>
      <x:c r="M75" s="207" t="str">
        <x:v>Cuisine</x:v>
      </x:c>
      <x:c r="N75" s="207" t="n">
        <x:v>1800</x:v>
      </x:c>
      <x:c r="O75" s="207" t="str">
        <x:v>Repère indicatif — confirmer la plaque signalétique; démarrage à vérifier si moteur</x:v>
      </x:c>
    </x:row>
    <x:row r="76" ht="25" customHeight="1">
      <x:c r="A76" s="982"/>
      <x:c r="B76" s="982"/>
      <x:c r="C76" s="982"/>
      <x:c r="D76" s="982"/>
      <x:c r="E76" s="997"/>
      <x:c r="F76" s="997"/>
      <x:c r="G76" s="1002" t="str">
        <x:f>IF(OR(B76="",D76="",IF(C76="",K76,C76)=""),"",B76*IF(C76="",K76,C76)*D76*F76)</x:f>
      </x:c>
      <x:c r="H76" s="1002" t="str">
        <x:f>IF(OR(B76="",IF(C76="",K76,C76)=""),"",B76*IF(C76="",K76,C76))</x:f>
      </x:c>
      <x:c r="I76" s="982"/>
      <x:c r="J76" s="982"/>
      <x:c r="K76" s="990" t="str">
        <x:f>IFERROR(INDEX($N$6:$N$205,MATCH(A76,$L$6:$L$205,0)),"")</x:f>
      </x:c>
      <x:c r="L76" s="207" t="str">
        <x:v>Cafetière</x:v>
      </x:c>
      <x:c r="M76" s="207" t="str">
        <x:v>Cuisine</x:v>
      </x:c>
      <x:c r="N76" s="207" t="n">
        <x:v>900</x:v>
      </x:c>
      <x:c r="O76" s="207" t="str">
        <x:v>Repère indicatif — confirmer la plaque signalétique; démarrage à vérifier si moteur</x:v>
      </x:c>
    </x:row>
    <x:row r="77" ht="25" customHeight="1">
      <x:c r="A77" s="982"/>
      <x:c r="B77" s="982"/>
      <x:c r="C77" s="982"/>
      <x:c r="D77" s="982"/>
      <x:c r="E77" s="997"/>
      <x:c r="F77" s="997"/>
      <x:c r="G77" s="1002" t="str">
        <x:f>IF(OR(B77="",D77="",IF(C77="",K77,C77)=""),"",B77*IF(C77="",K77,C77)*D77*F77)</x:f>
      </x:c>
      <x:c r="H77" s="1002" t="str">
        <x:f>IF(OR(B77="",IF(C77="",K77,C77)=""),"",B77*IF(C77="",K77,C77))</x:f>
      </x:c>
      <x:c r="I77" s="982"/>
      <x:c r="J77" s="982"/>
      <x:c r="K77" s="990" t="str">
        <x:f>IFERROR(INDEX($N$6:$N$205,MATCH(A77,$L$6:$L$205,0)),"")</x:f>
      </x:c>
      <x:c r="L77" s="207" t="str">
        <x:v>Grille-pain</x:v>
      </x:c>
      <x:c r="M77" s="207" t="str">
        <x:v>Cuisine</x:v>
      </x:c>
      <x:c r="N77" s="207" t="n">
        <x:v>800</x:v>
      </x:c>
      <x:c r="O77" s="207" t="str">
        <x:v>Repère indicatif — confirmer la plaque signalétique; démarrage à vérifier si moteur</x:v>
      </x:c>
    </x:row>
    <x:row r="78" ht="25" customHeight="1">
      <x:c r="A78" s="982"/>
      <x:c r="B78" s="982"/>
      <x:c r="C78" s="982"/>
      <x:c r="D78" s="982"/>
      <x:c r="E78" s="997"/>
      <x:c r="F78" s="997"/>
      <x:c r="G78" s="1002" t="str">
        <x:f>IF(OR(B78="",D78="",IF(C78="",K78,C78)=""),"",B78*IF(C78="",K78,C78)*D78*F78)</x:f>
      </x:c>
      <x:c r="H78" s="1002" t="str">
        <x:f>IF(OR(B78="",IF(C78="",K78,C78)=""),"",B78*IF(C78="",K78,C78))</x:f>
      </x:c>
      <x:c r="I78" s="982"/>
      <x:c r="J78" s="982"/>
      <x:c r="K78" s="990" t="str">
        <x:f>IFERROR(INDEX($N$6:$N$205,MATCH(A78,$L$6:$L$205,0)),"")</x:f>
      </x:c>
      <x:c r="L78" s="207" t="str">
        <x:v>Cuiseur à riz</x:v>
      </x:c>
      <x:c r="M78" s="207" t="str">
        <x:v>Cuisine</x:v>
      </x:c>
      <x:c r="N78" s="207" t="n">
        <x:v>700</x:v>
      </x:c>
      <x:c r="O78" s="207" t="str">
        <x:v>Repère indicatif — confirmer la plaque signalétique; démarrage à vérifier si moteur</x:v>
      </x:c>
    </x:row>
    <x:row r="79" ht="25" customHeight="1">
      <x:c r="A79" s="982"/>
      <x:c r="B79" s="982"/>
      <x:c r="C79" s="982"/>
      <x:c r="D79" s="982"/>
      <x:c r="E79" s="997"/>
      <x:c r="F79" s="997"/>
      <x:c r="G79" s="1002" t="str">
        <x:f>IF(OR(B79="",D79="",IF(C79="",K79,C79)=""),"",B79*IF(C79="",K79,C79)*D79*F79)</x:f>
      </x:c>
      <x:c r="H79" s="1002" t="str">
        <x:f>IF(OR(B79="",IF(C79="",K79,C79)=""),"",B79*IF(C79="",K79,C79))</x:f>
      </x:c>
      <x:c r="I79" s="982"/>
      <x:c r="J79" s="982"/>
      <x:c r="K79" s="990" t="str">
        <x:f>IFERROR(INDEX($N$6:$N$205,MATCH(A79,$L$6:$L$205,0)),"")</x:f>
      </x:c>
      <x:c r="L79" s="207" t="str">
        <x:v>Friteuse électrique</x:v>
      </x:c>
      <x:c r="M79" s="207" t="str">
        <x:v>Cuisine</x:v>
      </x:c>
      <x:c r="N79" s="207" t="n">
        <x:v>1800</x:v>
      </x:c>
      <x:c r="O79" s="207" t="str">
        <x:v>Repère indicatif — confirmer la plaque signalétique; démarrage à vérifier si moteur</x:v>
      </x:c>
    </x:row>
    <x:row r="80" ht="25" customHeight="1">
      <x:c r="A80" s="982"/>
      <x:c r="B80" s="982"/>
      <x:c r="C80" s="982"/>
      <x:c r="D80" s="982"/>
      <x:c r="E80" s="997"/>
      <x:c r="F80" s="997"/>
      <x:c r="G80" s="1002" t="str">
        <x:f>IF(OR(B80="",D80="",IF(C80="",K80,C80)=""),"",B80*IF(C80="",K80,C80)*D80*F80)</x:f>
      </x:c>
      <x:c r="H80" s="1002" t="str">
        <x:f>IF(OR(B80="",IF(C80="",K80,C80)=""),"",B80*IF(C80="",K80,C80))</x:f>
      </x:c>
      <x:c r="I80" s="982"/>
      <x:c r="J80" s="982"/>
      <x:c r="K80" s="990" t="str">
        <x:f>IFERROR(INDEX($N$6:$N$205,MATCH(A80,$L$6:$L$205,0)),"")</x:f>
      </x:c>
      <x:c r="L80" s="207" t="str">
        <x:v>Hotte aspirante</x:v>
      </x:c>
      <x:c r="M80" s="207" t="str">
        <x:v>Cuisine</x:v>
      </x:c>
      <x:c r="N80" s="207" t="n">
        <x:v>150</x:v>
      </x:c>
      <x:c r="O80" s="207" t="str">
        <x:v>Repère indicatif — confirmer la plaque signalétique; démarrage à vérifier si moteur</x:v>
      </x:c>
    </x:row>
    <x:row r="81" ht="25" customHeight="1">
      <x:c r="A81" s="982"/>
      <x:c r="B81" s="982"/>
      <x:c r="C81" s="982"/>
      <x:c r="D81" s="982"/>
      <x:c r="E81" s="997"/>
      <x:c r="F81" s="997"/>
      <x:c r="G81" s="1002" t="str">
        <x:f>IF(OR(B81="",D81="",IF(C81="",K81,C81)=""),"",B81*IF(C81="",K81,C81)*D81*F81)</x:f>
      </x:c>
      <x:c r="H81" s="1002" t="str">
        <x:f>IF(OR(B81="",IF(C81="",K81,C81)=""),"",B81*IF(C81="",K81,C81))</x:f>
      </x:c>
      <x:c r="I81" s="982"/>
      <x:c r="J81" s="982"/>
      <x:c r="K81" s="990" t="str">
        <x:f>IFERROR(INDEX($N$6:$N$205,MATCH(A81,$L$6:$L$205,0)),"")</x:f>
      </x:c>
      <x:c r="L81" s="207" t="str">
        <x:v>Chauffe-eau électrique 30 L</x:v>
      </x:c>
      <x:c r="M81" s="207" t="str">
        <x:v>Eau chaude</x:v>
      </x:c>
      <x:c r="N81" s="207" t="n">
        <x:v>1500</x:v>
      </x:c>
      <x:c r="O81" s="207" t="str">
        <x:v>Repère indicatif — confirmer la plaque signalétique; démarrage à vérifier si moteur</x:v>
      </x:c>
    </x:row>
    <x:row r="82" ht="25" customHeight="1">
      <x:c r="A82" s="982"/>
      <x:c r="B82" s="982"/>
      <x:c r="C82" s="982"/>
      <x:c r="D82" s="982"/>
      <x:c r="E82" s="997"/>
      <x:c r="F82" s="997"/>
      <x:c r="G82" s="1002" t="str">
        <x:f>IF(OR(B82="",D82="",IF(C82="",K82,C82)=""),"",B82*IF(C82="",K82,C82)*D82*F82)</x:f>
      </x:c>
      <x:c r="H82" s="1002" t="str">
        <x:f>IF(OR(B82="",IF(C82="",K82,C82)=""),"",B82*IF(C82="",K82,C82))</x:f>
      </x:c>
      <x:c r="I82" s="982"/>
      <x:c r="J82" s="982"/>
      <x:c r="K82" s="990" t="str">
        <x:f>IFERROR(INDEX($N$6:$N$205,MATCH(A82,$L$6:$L$205,0)),"")</x:f>
      </x:c>
      <x:c r="L82" s="207" t="str">
        <x:v>Chauffe-eau électrique 50 L</x:v>
      </x:c>
      <x:c r="M82" s="207" t="str">
        <x:v>Eau chaude</x:v>
      </x:c>
      <x:c r="N82" s="207" t="n">
        <x:v>2000</x:v>
      </x:c>
      <x:c r="O82" s="207" t="str">
        <x:v>Repère indicatif — confirmer la plaque signalétique; démarrage à vérifier si moteur</x:v>
      </x:c>
    </x:row>
    <x:row r="83" ht="25" customHeight="1">
      <x:c r="A83" s="982"/>
      <x:c r="B83" s="982"/>
      <x:c r="C83" s="982"/>
      <x:c r="D83" s="982"/>
      <x:c r="E83" s="997"/>
      <x:c r="F83" s="997"/>
      <x:c r="G83" s="1002" t="str">
        <x:f>IF(OR(B83="",D83="",IF(C83="",K83,C83)=""),"",B83*IF(C83="",K83,C83)*D83*F83)</x:f>
      </x:c>
      <x:c r="H83" s="1002" t="str">
        <x:f>IF(OR(B83="",IF(C83="",K83,C83)=""),"",B83*IF(C83="",K83,C83))</x:f>
      </x:c>
      <x:c r="I83" s="982"/>
      <x:c r="J83" s="982"/>
      <x:c r="K83" s="990" t="str">
        <x:f>IFERROR(INDEX($N$6:$N$205,MATCH(A83,$L$6:$L$205,0)),"")</x:f>
      </x:c>
      <x:c r="L83" s="207" t="str">
        <x:v>Pompe immergée 0,5 CV</x:v>
      </x:c>
      <x:c r="M83" s="207" t="str">
        <x:v>Pompage</x:v>
      </x:c>
      <x:c r="N83" s="207" t="n">
        <x:v>370</x:v>
      </x:c>
      <x:c r="O83" s="207" t="str">
        <x:v>Repère indicatif — confirmer la plaque signalétique; démarrage à vérifier si moteur</x:v>
      </x:c>
    </x:row>
    <x:row r="84" ht="25" customHeight="1">
      <x:c r="A84" s="982"/>
      <x:c r="B84" s="982"/>
      <x:c r="C84" s="982"/>
      <x:c r="D84" s="982"/>
      <x:c r="E84" s="997"/>
      <x:c r="F84" s="997"/>
      <x:c r="G84" s="1002" t="str">
        <x:f>IF(OR(B84="",D84="",IF(C84="",K84,C84)=""),"",B84*IF(C84="",K84,C84)*D84*F84)</x:f>
      </x:c>
      <x:c r="H84" s="1002" t="str">
        <x:f>IF(OR(B84="",IF(C84="",K84,C84)=""),"",B84*IF(C84="",K84,C84))</x:f>
      </x:c>
      <x:c r="I84" s="982"/>
      <x:c r="J84" s="982"/>
      <x:c r="K84" s="990" t="str">
        <x:f>IFERROR(INDEX($N$6:$N$205,MATCH(A84,$L$6:$L$205,0)),"")</x:f>
      </x:c>
      <x:c r="L84" s="207" t="str">
        <x:v>Pompe de surface 0,5 CV</x:v>
      </x:c>
      <x:c r="M84" s="207" t="str">
        <x:v>Pompage</x:v>
      </x:c>
      <x:c r="N84" s="207" t="n">
        <x:v>370</x:v>
      </x:c>
      <x:c r="O84" s="207" t="str">
        <x:v>Repère indicatif — confirmer la plaque signalétique; démarrage à vérifier si moteur</x:v>
      </x:c>
    </x:row>
    <x:row r="85" ht="25" customHeight="1">
      <x:c r="A85" s="982"/>
      <x:c r="B85" s="982"/>
      <x:c r="C85" s="982"/>
      <x:c r="D85" s="982"/>
      <x:c r="E85" s="997"/>
      <x:c r="F85" s="997"/>
      <x:c r="G85" s="1002" t="str">
        <x:f>IF(OR(B85="",D85="",IF(C85="",K85,C85)=""),"",B85*IF(C85="",K85,C85)*D85*F85)</x:f>
      </x:c>
      <x:c r="H85" s="1002" t="str">
        <x:f>IF(OR(B85="",IF(C85="",K85,C85)=""),"",B85*IF(C85="",K85,C85))</x:f>
      </x:c>
      <x:c r="I85" s="982"/>
      <x:c r="J85" s="982"/>
      <x:c r="K85" s="990" t="str">
        <x:f>IFERROR(INDEX($N$6:$N$205,MATCH(A85,$L$6:$L$205,0)),"")</x:f>
      </x:c>
      <x:c r="L85" s="207" t="str">
        <x:v>Pompe 1 CV</x:v>
      </x:c>
      <x:c r="M85" s="207" t="str">
        <x:v>Pompage</x:v>
      </x:c>
      <x:c r="N85" s="207" t="n">
        <x:v>750</x:v>
      </x:c>
      <x:c r="O85" s="207" t="str">
        <x:v>Repère indicatif — confirmer la plaque signalétique; démarrage à vérifier si moteur</x:v>
      </x:c>
    </x:row>
    <x:row r="86" ht="25" customHeight="1">
      <x:c r="A86" s="982"/>
      <x:c r="B86" s="982"/>
      <x:c r="C86" s="982"/>
      <x:c r="D86" s="982"/>
      <x:c r="E86" s="997"/>
      <x:c r="F86" s="997"/>
      <x:c r="G86" s="1002" t="str">
        <x:f>IF(OR(B86="",D86="",IF(C86="",K86,C86)=""),"",B86*IF(C86="",K86,C86)*D86*F86)</x:f>
      </x:c>
      <x:c r="H86" s="1002" t="str">
        <x:f>IF(OR(B86="",IF(C86="",K86,C86)=""),"",B86*IF(C86="",K86,C86))</x:f>
      </x:c>
      <x:c r="I86" s="982"/>
      <x:c r="J86" s="982"/>
      <x:c r="K86" s="990" t="str">
        <x:f>IFERROR(INDEX($N$6:$N$205,MATCH(A86,$L$6:$L$205,0)),"")</x:f>
      </x:c>
      <x:c r="L86" s="207" t="str">
        <x:v>Pompe 2 CV</x:v>
      </x:c>
      <x:c r="M86" s="207" t="str">
        <x:v>Pompage</x:v>
      </x:c>
      <x:c r="N86" s="207" t="n">
        <x:v>1500</x:v>
      </x:c>
      <x:c r="O86" s="207" t="str">
        <x:v>Repère indicatif — confirmer la plaque signalétique; démarrage à vérifier si moteur</x:v>
      </x:c>
    </x:row>
    <x:row r="87" ht="25" customHeight="1">
      <x:c r="A87" s="982"/>
      <x:c r="B87" s="982"/>
      <x:c r="C87" s="982"/>
      <x:c r="D87" s="982"/>
      <x:c r="E87" s="997"/>
      <x:c r="F87" s="997"/>
      <x:c r="G87" s="1002" t="str">
        <x:f>IF(OR(B87="",D87="",IF(C87="",K87,C87)=""),"",B87*IF(C87="",K87,C87)*D87*F87)</x:f>
      </x:c>
      <x:c r="H87" s="1002" t="str">
        <x:f>IF(OR(B87="",IF(C87="",K87,C87)=""),"",B87*IF(C87="",K87,C87))</x:f>
      </x:c>
      <x:c r="I87" s="982"/>
      <x:c r="J87" s="982"/>
      <x:c r="K87" s="990" t="str">
        <x:f>IFERROR(INDEX($N$6:$N$205,MATCH(A87,$L$6:$L$205,0)),"")</x:f>
      </x:c>
      <x:c r="L87" s="207" t="str">
        <x:v>Surpresseur domestique</x:v>
      </x:c>
      <x:c r="M87" s="207" t="str">
        <x:v>Pompage</x:v>
      </x:c>
      <x:c r="N87" s="207" t="n">
        <x:v>800</x:v>
      </x:c>
      <x:c r="O87" s="207" t="str">
        <x:v>Repère indicatif — confirmer la plaque signalétique; démarrage à vérifier si moteur</x:v>
      </x:c>
    </x:row>
    <x:row r="88" ht="25" customHeight="1">
      <x:c r="A88" s="982"/>
      <x:c r="B88" s="982"/>
      <x:c r="C88" s="982"/>
      <x:c r="D88" s="982"/>
      <x:c r="E88" s="997"/>
      <x:c r="F88" s="997"/>
      <x:c r="G88" s="1002" t="str">
        <x:f>IF(OR(B88="",D88="",IF(C88="",K88,C88)=""),"",B88*IF(C88="",K88,C88)*D88*F88)</x:f>
      </x:c>
      <x:c r="H88" s="1002" t="str">
        <x:f>IF(OR(B88="",IF(C88="",K88,C88)=""),"",B88*IF(C88="",K88,C88))</x:f>
      </x:c>
      <x:c r="I88" s="982"/>
      <x:c r="J88" s="982"/>
      <x:c r="K88" s="990" t="str">
        <x:f>IFERROR(INDEX($N$6:$N$205,MATCH(A88,$L$6:$L$205,0)),"")</x:f>
      </x:c>
      <x:c r="L88" s="207" t="str">
        <x:v>Ventilateur de plafond avec lampe</x:v>
      </x:c>
      <x:c r="M88" s="207" t="str">
        <x:v>Ventilation</x:v>
      </x:c>
      <x:c r="N88" s="207" t="n">
        <x:v>80</x:v>
      </x:c>
      <x:c r="O88" s="207" t="str">
        <x:v>Repère indicatif — confirmer la plaque signalétique; démarrage à vérifier si moteur</x:v>
      </x:c>
    </x:row>
    <x:row r="89" ht="25" customHeight="1">
      <x:c r="A89" s="982"/>
      <x:c r="B89" s="982"/>
      <x:c r="C89" s="982"/>
      <x:c r="D89" s="982"/>
      <x:c r="E89" s="997"/>
      <x:c r="F89" s="997"/>
      <x:c r="G89" s="1002" t="str">
        <x:f>IF(OR(B89="",D89="",IF(C89="",K89,C89)=""),"",B89*IF(C89="",K89,C89)*D89*F89)</x:f>
      </x:c>
      <x:c r="H89" s="1002" t="str">
        <x:f>IF(OR(B89="",IF(C89="",K89,C89)=""),"",B89*IF(C89="",K89,C89))</x:f>
      </x:c>
      <x:c r="I89" s="982"/>
      <x:c r="J89" s="982"/>
      <x:c r="K89" s="990" t="str">
        <x:f>IFERROR(INDEX($N$6:$N$205,MATCH(A89,$L$6:$L$205,0)),"")</x:f>
      </x:c>
      <x:c r="L89" s="207" t="str">
        <x:v>Chargeur téléphone</x:v>
      </x:c>
      <x:c r="M89" s="207" t="str">
        <x:v>Recharge</x:v>
      </x:c>
      <x:c r="N89" s="207" t="n">
        <x:v>10</x:v>
      </x:c>
      <x:c r="O89" s="207" t="str">
        <x:v>Repère indicatif — confirmer la plaque signalétique; démarrage à vérifier si moteur</x:v>
      </x:c>
    </x:row>
    <x:row r="90" ht="25" customHeight="1">
      <x:c r="A90" s="982"/>
      <x:c r="B90" s="982"/>
      <x:c r="C90" s="982"/>
      <x:c r="D90" s="982"/>
      <x:c r="E90" s="997"/>
      <x:c r="F90" s="997"/>
      <x:c r="G90" s="1002" t="str">
        <x:f>IF(OR(B90="",D90="",IF(C90="",K90,C90)=""),"",B90*IF(C90="",K90,C90)*D90*F90)</x:f>
      </x:c>
      <x:c r="H90" s="1002" t="str">
        <x:f>IF(OR(B90="",IF(C90="",K90,C90)=""),"",B90*IF(C90="",K90,C90))</x:f>
      </x:c>
      <x:c r="I90" s="982"/>
      <x:c r="J90" s="982"/>
      <x:c r="K90" s="990" t="str">
        <x:f>IFERROR(INDEX($N$6:$N$205,MATCH(A90,$L$6:$L$205,0)),"")</x:f>
      </x:c>
      <x:c r="L90" s="207" t="str">
        <x:v>Chargeur ordinateur portable</x:v>
      </x:c>
      <x:c r="M90" s="207" t="str">
        <x:v>Recharge</x:v>
      </x:c>
      <x:c r="N90" s="207" t="n">
        <x:v>90</x:v>
      </x:c>
      <x:c r="O90" s="207" t="str">
        <x:v>Repère indicatif — confirmer la plaque signalétique; démarrage à vérifier si moteur</x:v>
      </x:c>
    </x:row>
    <x:row r="91" ht="25" customHeight="1">
      <x:c r="A91" s="982"/>
      <x:c r="B91" s="982"/>
      <x:c r="C91" s="982"/>
      <x:c r="D91" s="982"/>
      <x:c r="E91" s="997"/>
      <x:c r="F91" s="997"/>
      <x:c r="G91" s="1002" t="str">
        <x:f>IF(OR(B91="",D91="",IF(C91="",K91,C91)=""),"",B91*IF(C91="",K91,C91)*D91*F91)</x:f>
      </x:c>
      <x:c r="H91" s="1002" t="str">
        <x:f>IF(OR(B91="",IF(C91="",K91,C91)=""),"",B91*IF(C91="",K91,C91))</x:f>
      </x:c>
      <x:c r="I91" s="982"/>
      <x:c r="J91" s="982"/>
      <x:c r="K91" s="990" t="str">
        <x:f>IFERROR(INDEX($N$6:$N$205,MATCH(A91,$L$6:$L$205,0)),"")</x:f>
      </x:c>
      <x:c r="L91" s="207" t="str">
        <x:v>Chargeur outils sans fil</x:v>
      </x:c>
      <x:c r="M91" s="207" t="str">
        <x:v>Recharge</x:v>
      </x:c>
      <x:c r="N91" s="207" t="n">
        <x:v>100</x:v>
      </x:c>
      <x:c r="O91" s="207" t="str">
        <x:v>Repère indicatif — confirmer la plaque signalétique; démarrage à vérifier si moteur</x:v>
      </x:c>
    </x:row>
    <x:row r="92" ht="25" customHeight="1">
      <x:c r="A92" s="982"/>
      <x:c r="B92" s="982"/>
      <x:c r="C92" s="982"/>
      <x:c r="D92" s="982"/>
      <x:c r="E92" s="997"/>
      <x:c r="F92" s="997"/>
      <x:c r="G92" s="1002" t="str">
        <x:f>IF(OR(B92="",D92="",IF(C92="",K92,C92)=""),"",B92*IF(C92="",K92,C92)*D92*F92)</x:f>
      </x:c>
      <x:c r="H92" s="1002" t="str">
        <x:f>IF(OR(B92="",IF(C92="",K92,C92)=""),"",B92*IF(C92="",K92,C92))</x:f>
      </x:c>
      <x:c r="I92" s="982"/>
      <x:c r="J92" s="982"/>
      <x:c r="K92" s="990" t="str">
        <x:f>IFERROR(INDEX($N$6:$N$205,MATCH(A92,$L$6:$L$205,0)),"")</x:f>
      </x:c>
      <x:c r="L92" s="207" t="str">
        <x:v>Éclairage de secours</x:v>
      </x:c>
      <x:c r="M92" s="207" t="str">
        <x:v>Éclairage</x:v>
      </x:c>
      <x:c r="N92" s="207" t="n">
        <x:v>10</x:v>
      </x:c>
      <x:c r="O92" s="207" t="str">
        <x:v>Repère indicatif — confirmer la plaque signalétique; démarrage à vérifier si moteur</x:v>
      </x:c>
    </x:row>
    <x:row r="93" ht="25" customHeight="1">
      <x:c r="A93" s="982"/>
      <x:c r="B93" s="982"/>
      <x:c r="C93" s="982"/>
      <x:c r="D93" s="982"/>
      <x:c r="E93" s="997"/>
      <x:c r="F93" s="997"/>
      <x:c r="G93" s="1002" t="str">
        <x:f>IF(OR(B93="",D93="",IF(C93="",K93,C93)=""),"",B93*IF(C93="",K93,C93)*D93*F93)</x:f>
      </x:c>
      <x:c r="H93" s="1002" t="str">
        <x:f>IF(OR(B93="",IF(C93="",K93,C93)=""),"",B93*IF(C93="",K93,C93))</x:f>
      </x:c>
      <x:c r="I93" s="982"/>
      <x:c r="J93" s="982"/>
      <x:c r="K93" s="990" t="str">
        <x:f>IFERROR(INDEX($N$6:$N$205,MATCH(A93,$L$6:$L$205,0)),"")</x:f>
      </x:c>
      <x:c r="L93" s="207" t="str">
        <x:v>Ferme-porte / petit moteur</x:v>
      </x:c>
      <x:c r="M93" s="207" t="str">
        <x:v>Moteur</x:v>
      </x:c>
      <x:c r="N93" s="207" t="n">
        <x:v>250</x:v>
      </x:c>
      <x:c r="O93" s="207" t="str">
        <x:v>Repère indicatif — confirmer la plaque signalétique; démarrage à vérifier si moteur</x:v>
      </x:c>
    </x:row>
    <x:row r="94" ht="25" customHeight="1">
      <x:c r="A94" s="982"/>
      <x:c r="B94" s="982"/>
      <x:c r="C94" s="982"/>
      <x:c r="D94" s="982"/>
      <x:c r="E94" s="997"/>
      <x:c r="F94" s="997"/>
      <x:c r="G94" s="1002" t="str">
        <x:f>IF(OR(B94="",D94="",IF(C94="",K94,C94)=""),"",B94*IF(C94="",K94,C94)*D94*F94)</x:f>
      </x:c>
      <x:c r="H94" s="1002" t="str">
        <x:f>IF(OR(B94="",IF(C94="",K94,C94)=""),"",B94*IF(C94="",K94,C94))</x:f>
      </x:c>
      <x:c r="I94" s="982"/>
      <x:c r="J94" s="982"/>
      <x:c r="K94" s="990" t="str">
        <x:f>IFERROR(INDEX($N$6:$N$205,MATCH(A94,$L$6:$L$205,0)),"")</x:f>
      </x:c>
      <x:c r="L94" s="207" t="str">
        <x:v>Sewing machine</x:v>
      </x:c>
      <x:c r="M94" s="207" t="str">
        <x:v>Atelier</x:v>
      </x:c>
      <x:c r="N94" s="207" t="n">
        <x:v>100</x:v>
      </x:c>
      <x:c r="O94" s="207" t="str">
        <x:v>Repère indicatif — confirmer la plaque signalétique; démarrage à vérifier si moteur</x:v>
      </x:c>
    </x:row>
    <x:row r="95" ht="25" customHeight="1">
      <x:c r="A95" s="982"/>
      <x:c r="B95" s="982"/>
      <x:c r="C95" s="982"/>
      <x:c r="D95" s="982"/>
      <x:c r="E95" s="997"/>
      <x:c r="F95" s="997"/>
      <x:c r="G95" s="1002" t="str">
        <x:f>IF(OR(B95="",D95="",IF(C95="",K95,C95)=""),"",B95*IF(C95="",K95,C95)*D95*F95)</x:f>
      </x:c>
      <x:c r="H95" s="1002" t="str">
        <x:f>IF(OR(B95="",IF(C95="",K95,C95)=""),"",B95*IF(C95="",K95,C95))</x:f>
      </x:c>
      <x:c r="I95" s="982"/>
      <x:c r="J95" s="982"/>
      <x:c r="K95" s="990" t="str">
        <x:f>IFERROR(INDEX($N$6:$N$205,MATCH(A95,$L$6:$L$205,0)),"")</x:f>
      </x:c>
      <x:c r="L95" s="207" t="str">
        <x:v>Machine à coudre</x:v>
      </x:c>
      <x:c r="M95" s="207" t="str">
        <x:v>Atelier</x:v>
      </x:c>
      <x:c r="N95" s="207" t="n">
        <x:v>100</x:v>
      </x:c>
      <x:c r="O95" s="207" t="str">
        <x:v>Repère indicatif — confirmer la plaque signalétique; démarrage à vérifier si moteur</x:v>
      </x:c>
    </x:row>
    <x:row r="96" ht="25" customHeight="1">
      <x:c r="A96" s="982"/>
      <x:c r="B96" s="982"/>
      <x:c r="C96" s="982"/>
      <x:c r="D96" s="982"/>
      <x:c r="E96" s="997"/>
      <x:c r="F96" s="997"/>
      <x:c r="G96" s="1002" t="str">
        <x:f>IF(OR(B96="",D96="",IF(C96="",K96,C96)=""),"",B96*IF(C96="",K96,C96)*D96*F96)</x:f>
      </x:c>
      <x:c r="H96" s="1002" t="str">
        <x:f>IF(OR(B96="",IF(C96="",K96,C96)=""),"",B96*IF(C96="",K96,C96))</x:f>
      </x:c>
      <x:c r="I96" s="982"/>
      <x:c r="J96" s="982"/>
      <x:c r="K96" s="990" t="str">
        <x:f>IFERROR(INDEX($N$6:$N$205,MATCH(A96,$L$6:$L$205,0)),"")</x:f>
      </x:c>
      <x:c r="L96" s="207" t="str">
        <x:v>Petit compresseur</x:v>
      </x:c>
      <x:c r="M96" s="207" t="str">
        <x:v>Atelier</x:v>
      </x:c>
      <x:c r="N96" s="207" t="n">
        <x:v>1000</x:v>
      </x:c>
      <x:c r="O96" s="207" t="str">
        <x:v>Repère indicatif — confirmer la plaque signalétique; démarrage à vérifier si moteur</x:v>
      </x:c>
    </x:row>
    <x:row r="97" ht="25" customHeight="1">
      <x:c r="A97" s="982"/>
      <x:c r="B97" s="982"/>
      <x:c r="C97" s="982"/>
      <x:c r="D97" s="982"/>
      <x:c r="E97" s="997"/>
      <x:c r="F97" s="997"/>
      <x:c r="G97" s="1002" t="str">
        <x:f>IF(OR(B97="",D97="",IF(C97="",K97,C97)=""),"",B97*IF(C97="",K97,C97)*D97*F97)</x:f>
      </x:c>
      <x:c r="H97" s="1002" t="str">
        <x:f>IF(OR(B97="",IF(C97="",K97,C97)=""),"",B97*IF(C97="",K97,C97))</x:f>
      </x:c>
      <x:c r="I97" s="982"/>
      <x:c r="J97" s="982"/>
      <x:c r="K97" s="990" t="str">
        <x:f>IFERROR(INDEX($N$6:$N$205,MATCH(A97,$L$6:$L$205,0)),"")</x:f>
      </x:c>
      <x:c r="L97" s="207" t="str">
        <x:v>Perceuse électrique</x:v>
      </x:c>
      <x:c r="M97" s="207" t="str">
        <x:v>Atelier</x:v>
      </x:c>
      <x:c r="N97" s="207" t="n">
        <x:v>700</x:v>
      </x:c>
      <x:c r="O97" s="207" t="str">
        <x:v>Repère indicatif — confirmer la plaque signalétique; démarrage à vérifier si moteur</x:v>
      </x:c>
    </x:row>
    <x:row r="98" ht="25" customHeight="1">
      <x:c r="A98" s="982"/>
      <x:c r="B98" s="982"/>
      <x:c r="C98" s="982"/>
      <x:c r="D98" s="982"/>
      <x:c r="E98" s="997"/>
      <x:c r="F98" s="997"/>
      <x:c r="G98" s="1002" t="str">
        <x:f>IF(OR(B98="",D98="",IF(C98="",K98,C98)=""),"",B98*IF(C98="",K98,C98)*D98*F98)</x:f>
      </x:c>
      <x:c r="H98" s="1002" t="str">
        <x:f>IF(OR(B98="",IF(C98="",K98,C98)=""),"",B98*IF(C98="",K98,C98))</x:f>
      </x:c>
      <x:c r="I98" s="982"/>
      <x:c r="J98" s="982"/>
      <x:c r="K98" s="990" t="str">
        <x:f>IFERROR(INDEX($N$6:$N$205,MATCH(A98,$L$6:$L$205,0)),"")</x:f>
      </x:c>
      <x:c r="L98" s="207" t="str">
        <x:v>Meuleuse</x:v>
      </x:c>
      <x:c r="M98" s="207" t="str">
        <x:v>Atelier</x:v>
      </x:c>
      <x:c r="N98" s="207" t="n">
        <x:v>900</x:v>
      </x:c>
      <x:c r="O98" s="207" t="str">
        <x:v>Repère indicatif — confirmer la plaque signalétique; démarrage à vérifier si moteur</x:v>
      </x:c>
    </x:row>
    <x:row r="99" ht="25" customHeight="1">
      <x:c r="A99" s="982"/>
      <x:c r="B99" s="982"/>
      <x:c r="C99" s="982"/>
      <x:c r="D99" s="982"/>
      <x:c r="E99" s="997"/>
      <x:c r="F99" s="997"/>
      <x:c r="G99" s="1002" t="str">
        <x:f>IF(OR(B99="",D99="",IF(C99="",K99,C99)=""),"",B99*IF(C99="",K99,C99)*D99*F99)</x:f>
      </x:c>
      <x:c r="H99" s="1002" t="str">
        <x:f>IF(OR(B99="",IF(C99="",K99,C99)=""),"",B99*IF(C99="",K99,C99))</x:f>
      </x:c>
      <x:c r="I99" s="982"/>
      <x:c r="J99" s="982"/>
      <x:c r="K99" s="990" t="str">
        <x:f>IFERROR(INDEX($N$6:$N$205,MATCH(A99,$L$6:$L$205,0)),"")</x:f>
      </x:c>
      <x:c r="L99" s="207" t="str">
        <x:v>Poste à souder inverter</x:v>
      </x:c>
      <x:c r="M99" s="207" t="str">
        <x:v>Atelier</x:v>
      </x:c>
      <x:c r="N99" s="207" t="n">
        <x:v>3000</x:v>
      </x:c>
      <x:c r="O99" s="207" t="str">
        <x:v>Repère indicatif — confirmer la plaque signalétique; démarrage à vérifier si moteur</x:v>
      </x:c>
    </x:row>
    <x:row r="100" ht="25" customHeight="1">
      <x:c r="A100" s="982"/>
      <x:c r="B100" s="982"/>
      <x:c r="C100" s="982"/>
      <x:c r="D100" s="982"/>
      <x:c r="E100" s="997"/>
      <x:c r="F100" s="997"/>
      <x:c r="G100" s="1002" t="str">
        <x:f>IF(OR(B100="",D100="",IF(C100="",K100,C100)=""),"",B100*IF(C100="",K100,C100)*D100*F100)</x:f>
      </x:c>
      <x:c r="H100" s="1002" t="str">
        <x:f>IF(OR(B100="",IF(C100="",K100,C100)=""),"",B100*IF(C100="",K100,C100))</x:f>
      </x:c>
      <x:c r="I100" s="982"/>
      <x:c r="J100" s="982"/>
      <x:c r="K100" s="990" t="str">
        <x:f>IFERROR(INDEX($N$6:$N$205,MATCH(A100,$L$6:$L$205,0)),"")</x:f>
      </x:c>
      <x:c r="L100" s="207" t="str">
        <x:v>Aquarium / pompe</x:v>
      </x:c>
      <x:c r="M100" s="207" t="str">
        <x:v>Pompage</x:v>
      </x:c>
      <x:c r="N100" s="207" t="n">
        <x:v>50</x:v>
      </x:c>
      <x:c r="O100" s="207" t="str">
        <x:v>Repère indicatif — confirmer la plaque signalétique; démarrage à vérifier si moteur</x:v>
      </x:c>
    </x:row>
    <x:row r="101" ht="25" customHeight="1">
      <x:c r="A101" s="982"/>
      <x:c r="B101" s="982"/>
      <x:c r="C101" s="982"/>
      <x:c r="D101" s="982"/>
      <x:c r="E101" s="997"/>
      <x:c r="F101" s="997"/>
      <x:c r="G101" s="1002" t="str">
        <x:f>IF(OR(B101="",D101="",IF(C101="",K101,C101)=""),"",B101*IF(C101="",K101,C101)*D101*F101)</x:f>
      </x:c>
      <x:c r="H101" s="1002" t="str">
        <x:f>IF(OR(B101="",IF(C101="",K101,C101)=""),"",B101*IF(C101="",K101,C101))</x:f>
      </x:c>
      <x:c r="I101" s="982"/>
      <x:c r="J101" s="982"/>
      <x:c r="K101" s="990" t="str">
        <x:f>IFERROR(INDEX($N$6:$N$205,MATCH(A101,$L$6:$L$205,0)),"")</x:f>
      </x:c>
      <x:c r="L101" s="207" t="str">
        <x:v>Pompe piscine domestique</x:v>
      </x:c>
      <x:c r="M101" s="207" t="str">
        <x:v>Pompage</x:v>
      </x:c>
      <x:c r="N101" s="207" t="n">
        <x:v>1100</x:v>
      </x:c>
      <x:c r="O101" s="207" t="str">
        <x:v>Repère indicatif — confirmer la plaque signalétique; démarrage à vérifier si moteur</x:v>
      </x:c>
    </x:row>
    <x:row r="102" ht="25" customHeight="1">
      <x:c r="A102" s="982"/>
      <x:c r="B102" s="982"/>
      <x:c r="C102" s="982"/>
      <x:c r="D102" s="982"/>
      <x:c r="E102" s="997"/>
      <x:c r="F102" s="997"/>
      <x:c r="G102" s="1002" t="str">
        <x:f>IF(OR(B102="",D102="",IF(C102="",K102,C102)=""),"",B102*IF(C102="",K102,C102)*D102*F102)</x:f>
      </x:c>
      <x:c r="H102" s="1002" t="str">
        <x:f>IF(OR(B102="",IF(C102="",K102,C102)=""),"",B102*IF(C102="",K102,C102))</x:f>
      </x:c>
      <x:c r="I102" s="982"/>
      <x:c r="J102" s="982"/>
      <x:c r="K102" s="990" t="str">
        <x:f>IFERROR(INDEX($N$6:$N$205,MATCH(A102,$L$6:$L$205,0)),"")</x:f>
      </x:c>
      <x:c r="L102" s="207" t="str">
        <x:v>Lave-vaisselle</x:v>
      </x:c>
      <x:c r="M102" s="207" t="str">
        <x:v>Électroménager</x:v>
      </x:c>
      <x:c r="N102" s="207" t="n">
        <x:v>1800</x:v>
      </x:c>
      <x:c r="O102" s="207" t="str">
        <x:v>Repère indicatif — confirmer la plaque signalétique; démarrage à vérifier si moteur</x:v>
      </x:c>
    </x:row>
    <x:row r="103" ht="25" customHeight="1">
      <x:c r="A103" s="982"/>
      <x:c r="B103" s="982"/>
      <x:c r="C103" s="982"/>
      <x:c r="D103" s="982"/>
      <x:c r="E103" s="997"/>
      <x:c r="F103" s="997"/>
      <x:c r="G103" s="1002" t="str">
        <x:f>IF(OR(B103="",D103="",IF(C103="",K103,C103)=""),"",B103*IF(C103="",K103,C103)*D103*F103)</x:f>
      </x:c>
      <x:c r="H103" s="1002" t="str">
        <x:f>IF(OR(B103="",IF(C103="",K103,C103)=""),"",B103*IF(C103="",K103,C103))</x:f>
      </x:c>
      <x:c r="I103" s="982"/>
      <x:c r="J103" s="982"/>
      <x:c r="K103" s="990" t="str">
        <x:f>IFERROR(INDEX($N$6:$N$205,MATCH(A103,$L$6:$L$205,0)),"")</x:f>
      </x:c>
      <x:c r="L103" s="207" t="str">
        <x:v>Sèche-cheveux</x:v>
      </x:c>
      <x:c r="M103" s="207" t="str">
        <x:v>Salle de bain</x:v>
      </x:c>
      <x:c r="N103" s="207" t="n">
        <x:v>1600</x:v>
      </x:c>
      <x:c r="O103" s="207" t="str">
        <x:v>Repère indicatif — confirmer la plaque signalétique; démarrage à vérifier si moteur</x:v>
      </x:c>
    </x:row>
    <x:row r="104" ht="25" customHeight="1">
      <x:c r="A104" s="982"/>
      <x:c r="B104" s="982"/>
      <x:c r="C104" s="982"/>
      <x:c r="D104" s="982"/>
      <x:c r="E104" s="997"/>
      <x:c r="F104" s="997"/>
      <x:c r="G104" s="1002" t="str">
        <x:f>IF(OR(B104="",D104="",IF(C104="",K104,C104)=""),"",B104*IF(C104="",K104,C104)*D104*F104)</x:f>
      </x:c>
      <x:c r="H104" s="1002" t="str">
        <x:f>IF(OR(B104="",IF(C104="",K104,C104)=""),"",B104*IF(C104="",K104,C104))</x:f>
      </x:c>
      <x:c r="I104" s="982"/>
      <x:c r="J104" s="982"/>
      <x:c r="K104" s="990" t="str">
        <x:f>IFERROR(INDEX($N$6:$N$205,MATCH(A104,$L$6:$L$205,0)),"")</x:f>
      </x:c>
      <x:c r="L104" s="207" t="str">
        <x:v>Radiateur électrique</x:v>
      </x:c>
      <x:c r="M104" s="207" t="str">
        <x:v>Chauffage</x:v>
      </x:c>
      <x:c r="N104" s="207" t="n">
        <x:v>1500</x:v>
      </x:c>
      <x:c r="O104" s="207" t="str">
        <x:v>Repère indicatif — confirmer la plaque signalétique; démarrage à vérifier si moteur</x:v>
      </x:c>
    </x:row>
    <x:row r="105" ht="25" customHeight="1">
      <x:c r="A105" s="982"/>
      <x:c r="B105" s="982"/>
      <x:c r="C105" s="982"/>
      <x:c r="D105" s="982"/>
      <x:c r="E105" s="997"/>
      <x:c r="F105" s="997"/>
      <x:c r="G105" s="1002" t="str">
        <x:f>IF(OR(B105="",D105="",IF(C105="",K105,C105)=""),"",B105*IF(C105="",K105,C105)*D105*F105)</x:f>
      </x:c>
      <x:c r="H105" s="1002" t="str">
        <x:f>IF(OR(B105="",IF(C105="",K105,C105)=""),"",B105*IF(C105="",K105,C105))</x:f>
      </x:c>
      <x:c r="I105" s="982"/>
      <x:c r="J105" s="982"/>
      <x:c r="K105" s="990" t="str">
        <x:f>IFERROR(INDEX($N$6:$N$205,MATCH(A105,$L$6:$L$205,0)),"")</x:f>
      </x:c>
      <x:c r="L105" s="207" t="str">
        <x:v>Ventilateur extracteur cuisine</x:v>
      </x:c>
      <x:c r="M105" s="207" t="str">
        <x:v>Ventilation</x:v>
      </x:c>
      <x:c r="N105" s="207" t="n">
        <x:v>80</x:v>
      </x:c>
      <x:c r="O105" s="207" t="str">
        <x:v>Repère indicatif — confirmer la plaque signalétique; démarrage à vérifier si moteur</x:v>
      </x:c>
    </x:row>
    <x:row r="106">
      <x:c r="A106" s="982"/>
      <x:c r="B106" s="982"/>
      <x:c r="C106" s="982"/>
      <x:c r="D106" s="982"/>
      <x:c r="E106" s="997"/>
      <x:c r="F106" s="997"/>
      <x:c r="G106" s="1002" t="str">
        <x:f>IF(OR(B106="",D106="",IF(C106="",K106,C106)=""),"",B106*IF(C106="",K106,C106)*D106*F106)</x:f>
      </x:c>
      <x:c r="H106" s="1002" t="str">
        <x:f>IF(OR(B106="",IF(C106="",K106,C106)=""),"",B106*IF(C106="",K106,C106))</x:f>
      </x:c>
      <x:c r="I106" s="982"/>
      <x:c r="J106" s="982"/>
      <x:c r="K106" s="990" t="str">
        <x:f>IFERROR(INDEX($N$6:$N$205,MATCH(A106,$L$6:$L$205,0)),"")</x:f>
      </x:c>
    </x:row>
    <x:row r="107">
      <x:c r="A107" s="982"/>
      <x:c r="B107" s="982"/>
      <x:c r="C107" s="982"/>
      <x:c r="D107" s="982"/>
      <x:c r="E107" s="997"/>
      <x:c r="F107" s="997"/>
      <x:c r="G107" s="1002" t="str">
        <x:f>IF(OR(B107="",D107="",IF(C107="",K107,C107)=""),"",B107*IF(C107="",K107,C107)*D107*F107)</x:f>
      </x:c>
      <x:c r="H107" s="1002" t="str">
        <x:f>IF(OR(B107="",IF(C107="",K107,C107)=""),"",B107*IF(C107="",K107,C107))</x:f>
      </x:c>
      <x:c r="I107" s="982"/>
      <x:c r="J107" s="982"/>
      <x:c r="K107" s="990" t="str">
        <x:f>IFERROR(INDEX($N$6:$N$205,MATCH(A107,$L$6:$L$205,0)),"")</x:f>
      </x:c>
    </x:row>
    <x:row r="108">
      <x:c r="A108" s="982"/>
      <x:c r="B108" s="982"/>
      <x:c r="C108" s="982"/>
      <x:c r="D108" s="982"/>
      <x:c r="E108" s="997"/>
      <x:c r="F108" s="997"/>
      <x:c r="G108" s="1002" t="str">
        <x:f>IF(OR(B108="",D108="",IF(C108="",K108,C108)=""),"",B108*IF(C108="",K108,C108)*D108*F108)</x:f>
      </x:c>
      <x:c r="H108" s="1002" t="str">
        <x:f>IF(OR(B108="",IF(C108="",K108,C108)=""),"",B108*IF(C108="",K108,C108))</x:f>
      </x:c>
      <x:c r="I108" s="982"/>
      <x:c r="J108" s="982"/>
      <x:c r="K108" s="990" t="str">
        <x:f>IFERROR(INDEX($N$6:$N$205,MATCH(A108,$L$6:$L$205,0)),"")</x:f>
      </x:c>
    </x:row>
    <x:row r="109">
      <x:c r="A109" s="982"/>
      <x:c r="B109" s="982"/>
      <x:c r="C109" s="982"/>
      <x:c r="D109" s="982"/>
      <x:c r="E109" s="997"/>
      <x:c r="F109" s="997"/>
      <x:c r="G109" s="1002" t="str">
        <x:f>IF(OR(B109="",D109="",IF(C109="",K109,C109)=""),"",B109*IF(C109="",K109,C109)*D109*F109)</x:f>
      </x:c>
      <x:c r="H109" s="1002" t="str">
        <x:f>IF(OR(B109="",IF(C109="",K109,C109)=""),"",B109*IF(C109="",K109,C109))</x:f>
      </x:c>
      <x:c r="I109" s="982"/>
      <x:c r="J109" s="982"/>
      <x:c r="K109" s="990" t="str">
        <x:f>IFERROR(INDEX($N$6:$N$205,MATCH(A109,$L$6:$L$205,0)),"")</x:f>
      </x:c>
    </x:row>
    <x:row r="110">
      <x:c r="A110" s="982"/>
      <x:c r="B110" s="982"/>
      <x:c r="C110" s="982"/>
      <x:c r="D110" s="982"/>
      <x:c r="E110" s="997"/>
      <x:c r="F110" s="997"/>
      <x:c r="G110" s="1002" t="str">
        <x:f>IF(OR(B110="",D110="",IF(C110="",K110,C110)=""),"",B110*IF(C110="",K110,C110)*D110*F110)</x:f>
      </x:c>
      <x:c r="H110" s="1002" t="str">
        <x:f>IF(OR(B110="",IF(C110="",K110,C110)=""),"",B110*IF(C110="",K110,C110))</x:f>
      </x:c>
      <x:c r="I110" s="982"/>
      <x:c r="J110" s="982"/>
      <x:c r="K110" s="990" t="str">
        <x:f>IFERROR(INDEX($N$6:$N$205,MATCH(A110,$L$6:$L$205,0)),"")</x:f>
      </x:c>
    </x:row>
    <x:row r="111">
      <x:c r="A111" s="982"/>
      <x:c r="B111" s="982"/>
      <x:c r="C111" s="982"/>
      <x:c r="D111" s="982"/>
      <x:c r="E111" s="997"/>
      <x:c r="F111" s="997"/>
      <x:c r="G111" s="1002" t="str">
        <x:f>IF(OR(B111="",D111="",IF(C111="",K111,C111)=""),"",B111*IF(C111="",K111,C111)*D111*F111)</x:f>
      </x:c>
      <x:c r="H111" s="1002" t="str">
        <x:f>IF(OR(B111="",IF(C111="",K111,C111)=""),"",B111*IF(C111="",K111,C111))</x:f>
      </x:c>
      <x:c r="I111" s="982"/>
      <x:c r="J111" s="982"/>
      <x:c r="K111" s="990" t="str">
        <x:f>IFERROR(INDEX($N$6:$N$205,MATCH(A111,$L$6:$L$205,0)),"")</x:f>
      </x:c>
    </x:row>
    <x:row r="112">
      <x:c r="A112" s="982"/>
      <x:c r="B112" s="982"/>
      <x:c r="C112" s="982"/>
      <x:c r="D112" s="982"/>
      <x:c r="E112" s="997"/>
      <x:c r="F112" s="997"/>
      <x:c r="G112" s="1002" t="str">
        <x:f>IF(OR(B112="",D112="",IF(C112="",K112,C112)=""),"",B112*IF(C112="",K112,C112)*D112*F112)</x:f>
      </x:c>
      <x:c r="H112" s="1002" t="str">
        <x:f>IF(OR(B112="",IF(C112="",K112,C112)=""),"",B112*IF(C112="",K112,C112))</x:f>
      </x:c>
      <x:c r="I112" s="982"/>
      <x:c r="J112" s="982"/>
      <x:c r="K112" s="990" t="str">
        <x:f>IFERROR(INDEX($N$6:$N$205,MATCH(A112,$L$6:$L$205,0)),"")</x:f>
      </x:c>
    </x:row>
    <x:row r="113">
      <x:c r="A113" s="982"/>
      <x:c r="B113" s="982"/>
      <x:c r="C113" s="982"/>
      <x:c r="D113" s="982"/>
      <x:c r="E113" s="997"/>
      <x:c r="F113" s="997"/>
      <x:c r="G113" s="1002" t="str">
        <x:f>IF(OR(B113="",D113="",IF(C113="",K113,C113)=""),"",B113*IF(C113="",K113,C113)*D113*F113)</x:f>
      </x:c>
      <x:c r="H113" s="1002" t="str">
        <x:f>IF(OR(B113="",IF(C113="",K113,C113)=""),"",B113*IF(C113="",K113,C113))</x:f>
      </x:c>
      <x:c r="I113" s="982"/>
      <x:c r="J113" s="982"/>
      <x:c r="K113" s="990" t="str">
        <x:f>IFERROR(INDEX($N$6:$N$205,MATCH(A113,$L$6:$L$205,0)),"")</x:f>
      </x:c>
    </x:row>
    <x:row r="114">
      <x:c r="A114" s="982"/>
      <x:c r="B114" s="982"/>
      <x:c r="C114" s="982"/>
      <x:c r="D114" s="982"/>
      <x:c r="E114" s="997"/>
      <x:c r="F114" s="997"/>
      <x:c r="G114" s="1002" t="str">
        <x:f>IF(OR(B114="",D114="",IF(C114="",K114,C114)=""),"",B114*IF(C114="",K114,C114)*D114*F114)</x:f>
      </x:c>
      <x:c r="H114" s="1002" t="str">
        <x:f>IF(OR(B114="",IF(C114="",K114,C114)=""),"",B114*IF(C114="",K114,C114))</x:f>
      </x:c>
      <x:c r="I114" s="982"/>
      <x:c r="J114" s="982"/>
      <x:c r="K114" s="990" t="str">
        <x:f>IFERROR(INDEX($N$6:$N$205,MATCH(A114,$L$6:$L$205,0)),"")</x:f>
      </x:c>
    </x:row>
    <x:row r="115">
      <x:c r="A115" s="982"/>
      <x:c r="B115" s="982"/>
      <x:c r="C115" s="982"/>
      <x:c r="D115" s="982"/>
      <x:c r="E115" s="997"/>
      <x:c r="F115" s="997"/>
      <x:c r="G115" s="1002" t="str">
        <x:f>IF(OR(B115="",D115="",IF(C115="",K115,C115)=""),"",B115*IF(C115="",K115,C115)*D115*F115)</x:f>
      </x:c>
      <x:c r="H115" s="1002" t="str">
        <x:f>IF(OR(B115="",IF(C115="",K115,C115)=""),"",B115*IF(C115="",K115,C115))</x:f>
      </x:c>
      <x:c r="I115" s="982"/>
      <x:c r="J115" s="982"/>
      <x:c r="K115" s="990" t="str">
        <x:f>IFERROR(INDEX($N$6:$N$205,MATCH(A115,$L$6:$L$205,0)),"")</x:f>
      </x:c>
    </x:row>
    <x:row r="116">
      <x:c r="A116" s="982"/>
      <x:c r="B116" s="982"/>
      <x:c r="C116" s="982"/>
      <x:c r="D116" s="982"/>
      <x:c r="E116" s="997"/>
      <x:c r="F116" s="997"/>
      <x:c r="G116" s="1002" t="str">
        <x:f>IF(OR(B116="",D116="",IF(C116="",K116,C116)=""),"",B116*IF(C116="",K116,C116)*D116*F116)</x:f>
      </x:c>
      <x:c r="H116" s="1002" t="str">
        <x:f>IF(OR(B116="",IF(C116="",K116,C116)=""),"",B116*IF(C116="",K116,C116))</x:f>
      </x:c>
      <x:c r="I116" s="982"/>
      <x:c r="J116" s="982"/>
      <x:c r="K116" s="990" t="str">
        <x:f>IFERROR(INDEX($N$6:$N$205,MATCH(A116,$L$6:$L$205,0)),"")</x:f>
      </x:c>
    </x:row>
    <x:row r="117">
      <x:c r="A117" s="982"/>
      <x:c r="B117" s="982"/>
      <x:c r="C117" s="982"/>
      <x:c r="D117" s="982"/>
      <x:c r="E117" s="997"/>
      <x:c r="F117" s="997"/>
      <x:c r="G117" s="1002" t="str">
        <x:f>IF(OR(B117="",D117="",IF(C117="",K117,C117)=""),"",B117*IF(C117="",K117,C117)*D117*F117)</x:f>
      </x:c>
      <x:c r="H117" s="1002" t="str">
        <x:f>IF(OR(B117="",IF(C117="",K117,C117)=""),"",B117*IF(C117="",K117,C117))</x:f>
      </x:c>
      <x:c r="I117" s="982"/>
      <x:c r="J117" s="982"/>
      <x:c r="K117" s="990" t="str">
        <x:f>IFERROR(INDEX($N$6:$N$205,MATCH(A117,$L$6:$L$205,0)),"")</x:f>
      </x:c>
    </x:row>
    <x:row r="118">
      <x:c r="A118" s="982"/>
      <x:c r="B118" s="982"/>
      <x:c r="C118" s="982"/>
      <x:c r="D118" s="982"/>
      <x:c r="E118" s="997"/>
      <x:c r="F118" s="997"/>
      <x:c r="G118" s="1002" t="str">
        <x:f>IF(OR(B118="",D118="",IF(C118="",K118,C118)=""),"",B118*IF(C118="",K118,C118)*D118*F118)</x:f>
      </x:c>
      <x:c r="H118" s="1002" t="str">
        <x:f>IF(OR(B118="",IF(C118="",K118,C118)=""),"",B118*IF(C118="",K118,C118))</x:f>
      </x:c>
      <x:c r="I118" s="982"/>
      <x:c r="J118" s="982"/>
      <x:c r="K118" s="990" t="str">
        <x:f>IFERROR(INDEX($N$6:$N$205,MATCH(A118,$L$6:$L$205,0)),"")</x:f>
      </x:c>
    </x:row>
    <x:row r="119">
      <x:c r="A119" s="982"/>
      <x:c r="B119" s="982"/>
      <x:c r="C119" s="982"/>
      <x:c r="D119" s="982"/>
      <x:c r="E119" s="997"/>
      <x:c r="F119" s="997"/>
      <x:c r="G119" s="1002" t="str">
        <x:f>IF(OR(B119="",D119="",IF(C119="",K119,C119)=""),"",B119*IF(C119="",K119,C119)*D119*F119)</x:f>
      </x:c>
      <x:c r="H119" s="1002" t="str">
        <x:f>IF(OR(B119="",IF(C119="",K119,C119)=""),"",B119*IF(C119="",K119,C119))</x:f>
      </x:c>
      <x:c r="I119" s="982"/>
      <x:c r="J119" s="982"/>
      <x:c r="K119" s="990" t="str">
        <x:f>IFERROR(INDEX($N$6:$N$205,MATCH(A119,$L$6:$L$205,0)),"")</x:f>
      </x:c>
    </x:row>
    <x:row r="120">
      <x:c r="A120" s="982"/>
      <x:c r="B120" s="982"/>
      <x:c r="C120" s="982"/>
      <x:c r="D120" s="982"/>
      <x:c r="E120" s="997"/>
      <x:c r="F120" s="997"/>
      <x:c r="G120" s="1002" t="str">
        <x:f>IF(OR(B120="",D120="",IF(C120="",K120,C120)=""),"",B120*IF(C120="",K120,C120)*D120*F120)</x:f>
      </x:c>
      <x:c r="H120" s="1002" t="str">
        <x:f>IF(OR(B120="",IF(C120="",K120,C120)=""),"",B120*IF(C120="",K120,C120))</x:f>
      </x:c>
      <x:c r="I120" s="982"/>
      <x:c r="J120" s="982"/>
      <x:c r="K120" s="990" t="str">
        <x:f>IFERROR(INDEX($N$6:$N$205,MATCH(A120,$L$6:$L$205,0)),"")</x:f>
      </x:c>
    </x:row>
    <x:row r="121">
      <x:c r="A121" s="982"/>
      <x:c r="B121" s="982"/>
      <x:c r="C121" s="982"/>
      <x:c r="D121" s="982"/>
      <x:c r="E121" s="997"/>
      <x:c r="F121" s="997"/>
      <x:c r="G121" s="1002" t="str">
        <x:f>IF(OR(B121="",D121="",IF(C121="",K121,C121)=""),"",B121*IF(C121="",K121,C121)*D121*F121)</x:f>
      </x:c>
      <x:c r="H121" s="1002" t="str">
        <x:f>IF(OR(B121="",IF(C121="",K121,C121)=""),"",B121*IF(C121="",K121,C121))</x:f>
      </x:c>
      <x:c r="I121" s="982"/>
      <x:c r="J121" s="982"/>
      <x:c r="K121" s="990" t="str">
        <x:f>IFERROR(INDEX($N$6:$N$205,MATCH(A121,$L$6:$L$205,0)),"")</x:f>
      </x:c>
    </x:row>
    <x:row r="122">
      <x:c r="A122" s="982"/>
      <x:c r="B122" s="982"/>
      <x:c r="C122" s="982"/>
      <x:c r="D122" s="982"/>
      <x:c r="E122" s="997"/>
      <x:c r="F122" s="997"/>
      <x:c r="G122" s="1002" t="str">
        <x:f>IF(OR(B122="",D122="",IF(C122="",K122,C122)=""),"",B122*IF(C122="",K122,C122)*D122*F122)</x:f>
      </x:c>
      <x:c r="H122" s="1002" t="str">
        <x:f>IF(OR(B122="",IF(C122="",K122,C122)=""),"",B122*IF(C122="",K122,C122))</x:f>
      </x:c>
      <x:c r="I122" s="982"/>
      <x:c r="J122" s="982"/>
      <x:c r="K122" s="990" t="str">
        <x:f>IFERROR(INDEX($N$6:$N$205,MATCH(A122,$L$6:$L$205,0)),"")</x:f>
      </x:c>
    </x:row>
    <x:row r="123">
      <x:c r="A123" s="982"/>
      <x:c r="B123" s="982"/>
      <x:c r="C123" s="982"/>
      <x:c r="D123" s="982"/>
      <x:c r="E123" s="997"/>
      <x:c r="F123" s="997"/>
      <x:c r="G123" s="1002" t="str">
        <x:f>IF(OR(B123="",D123="",IF(C123="",K123,C123)=""),"",B123*IF(C123="",K123,C123)*D123*F123)</x:f>
      </x:c>
      <x:c r="H123" s="1002" t="str">
        <x:f>IF(OR(B123="",IF(C123="",K123,C123)=""),"",B123*IF(C123="",K123,C123))</x:f>
      </x:c>
      <x:c r="I123" s="982"/>
      <x:c r="J123" s="982"/>
      <x:c r="K123" s="990" t="str">
        <x:f>IFERROR(INDEX($N$6:$N$205,MATCH(A123,$L$6:$L$205,0)),"")</x:f>
      </x:c>
    </x:row>
    <x:row r="124">
      <x:c r="A124" s="982"/>
      <x:c r="B124" s="982"/>
      <x:c r="C124" s="982"/>
      <x:c r="D124" s="982"/>
      <x:c r="E124" s="997"/>
      <x:c r="F124" s="997"/>
      <x:c r="G124" s="1002" t="str">
        <x:f>IF(OR(B124="",D124="",IF(C124="",K124,C124)=""),"",B124*IF(C124="",K124,C124)*D124*F124)</x:f>
      </x:c>
      <x:c r="H124" s="1002" t="str">
        <x:f>IF(OR(B124="",IF(C124="",K124,C124)=""),"",B124*IF(C124="",K124,C124))</x:f>
      </x:c>
      <x:c r="I124" s="982"/>
      <x:c r="J124" s="982"/>
      <x:c r="K124" s="990" t="str">
        <x:f>IFERROR(INDEX($N$6:$N$205,MATCH(A124,$L$6:$L$205,0)),"")</x:f>
      </x:c>
    </x:row>
    <x:row r="125">
      <x:c r="A125" s="982"/>
      <x:c r="B125" s="982"/>
      <x:c r="C125" s="982"/>
      <x:c r="D125" s="982"/>
      <x:c r="E125" s="997"/>
      <x:c r="F125" s="997"/>
      <x:c r="G125" s="1002" t="str">
        <x:f>IF(OR(B125="",D125="",IF(C125="",K125,C125)=""),"",B125*IF(C125="",K125,C125)*D125*F125)</x:f>
      </x:c>
      <x:c r="H125" s="1002" t="str">
        <x:f>IF(OR(B125="",IF(C125="",K125,C125)=""),"",B125*IF(C125="",K125,C125))</x:f>
      </x:c>
      <x:c r="I125" s="982"/>
      <x:c r="J125" s="982"/>
      <x:c r="K125" s="990" t="str">
        <x:f>IFERROR(INDEX($N$6:$N$205,MATCH(A125,$L$6:$L$205,0)),"")</x:f>
      </x:c>
    </x:row>
    <x:row r="126">
      <x:c r="A126" s="982"/>
      <x:c r="B126" s="982"/>
      <x:c r="C126" s="982"/>
      <x:c r="D126" s="982"/>
      <x:c r="E126" s="997"/>
      <x:c r="F126" s="997"/>
      <x:c r="G126" s="1002" t="str">
        <x:f>IF(OR(B126="",D126="",IF(C126="",K126,C126)=""),"",B126*IF(C126="",K126,C126)*D126*F126)</x:f>
      </x:c>
      <x:c r="H126" s="1002" t="str">
        <x:f>IF(OR(B126="",IF(C126="",K126,C126)=""),"",B126*IF(C126="",K126,C126))</x:f>
      </x:c>
      <x:c r="I126" s="982"/>
      <x:c r="J126" s="982"/>
      <x:c r="K126" s="990" t="str">
        <x:f>IFERROR(INDEX($N$6:$N$205,MATCH(A126,$L$6:$L$205,0)),"")</x:f>
      </x:c>
    </x:row>
    <x:row r="127">
      <x:c r="A127" s="982"/>
      <x:c r="B127" s="982"/>
      <x:c r="C127" s="982"/>
      <x:c r="D127" s="982"/>
      <x:c r="E127" s="997"/>
      <x:c r="F127" s="997"/>
      <x:c r="G127" s="1002" t="str">
        <x:f>IF(OR(B127="",D127="",IF(C127="",K127,C127)=""),"",B127*IF(C127="",K127,C127)*D127*F127)</x:f>
      </x:c>
      <x:c r="H127" s="1002" t="str">
        <x:f>IF(OR(B127="",IF(C127="",K127,C127)=""),"",B127*IF(C127="",K127,C127))</x:f>
      </x:c>
      <x:c r="I127" s="982"/>
      <x:c r="J127" s="982"/>
      <x:c r="K127" s="990" t="str">
        <x:f>IFERROR(INDEX($N$6:$N$205,MATCH(A127,$L$6:$L$205,0)),"")</x:f>
      </x:c>
    </x:row>
    <x:row r="128">
      <x:c r="A128" s="982"/>
      <x:c r="B128" s="982"/>
      <x:c r="C128" s="982"/>
      <x:c r="D128" s="982"/>
      <x:c r="E128" s="997"/>
      <x:c r="F128" s="997"/>
      <x:c r="G128" s="1002" t="str">
        <x:f>IF(OR(B128="",D128="",IF(C128="",K128,C128)=""),"",B128*IF(C128="",K128,C128)*D128*F128)</x:f>
      </x:c>
      <x:c r="H128" s="1002" t="str">
        <x:f>IF(OR(B128="",IF(C128="",K128,C128)=""),"",B128*IF(C128="",K128,C128))</x:f>
      </x:c>
      <x:c r="I128" s="982"/>
      <x:c r="J128" s="982"/>
      <x:c r="K128" s="990" t="str">
        <x:f>IFERROR(INDEX($N$6:$N$205,MATCH(A128,$L$6:$L$205,0)),"")</x:f>
      </x:c>
    </x:row>
    <x:row r="129">
      <x:c r="A129" s="982"/>
      <x:c r="B129" s="982"/>
      <x:c r="C129" s="982"/>
      <x:c r="D129" s="982"/>
      <x:c r="E129" s="997"/>
      <x:c r="F129" s="997"/>
      <x:c r="G129" s="1002" t="str">
        <x:f>IF(OR(B129="",D129="",IF(C129="",K129,C129)=""),"",B129*IF(C129="",K129,C129)*D129*F129)</x:f>
      </x:c>
      <x:c r="H129" s="1002" t="str">
        <x:f>IF(OR(B129="",IF(C129="",K129,C129)=""),"",B129*IF(C129="",K129,C129))</x:f>
      </x:c>
      <x:c r="I129" s="982"/>
      <x:c r="J129" s="982"/>
      <x:c r="K129" s="990" t="str">
        <x:f>IFERROR(INDEX($N$6:$N$205,MATCH(A129,$L$6:$L$205,0)),"")</x:f>
      </x:c>
    </x:row>
    <x:row r="130">
      <x:c r="A130" s="982"/>
      <x:c r="B130" s="982"/>
      <x:c r="C130" s="982"/>
      <x:c r="D130" s="982"/>
      <x:c r="E130" s="997"/>
      <x:c r="F130" s="997"/>
      <x:c r="G130" s="1002" t="str">
        <x:f>IF(OR(B130="",D130="",IF(C130="",K130,C130)=""),"",B130*IF(C130="",K130,C130)*D130*F130)</x:f>
      </x:c>
      <x:c r="H130" s="1002" t="str">
        <x:f>IF(OR(B130="",IF(C130="",K130,C130)=""),"",B130*IF(C130="",K130,C130))</x:f>
      </x:c>
      <x:c r="I130" s="982"/>
      <x:c r="J130" s="982"/>
      <x:c r="K130" s="990" t="str">
        <x:f>IFERROR(INDEX($N$6:$N$205,MATCH(A130,$L$6:$L$205,0)),"")</x:f>
      </x:c>
    </x:row>
    <x:row r="131">
      <x:c r="A131" s="982"/>
      <x:c r="B131" s="982"/>
      <x:c r="C131" s="982"/>
      <x:c r="D131" s="982"/>
      <x:c r="E131" s="997"/>
      <x:c r="F131" s="997"/>
      <x:c r="G131" s="1002" t="str">
        <x:f>IF(OR(B131="",D131="",IF(C131="",K131,C131)=""),"",B131*IF(C131="",K131,C131)*D131*F131)</x:f>
      </x:c>
      <x:c r="H131" s="1002" t="str">
        <x:f>IF(OR(B131="",IF(C131="",K131,C131)=""),"",B131*IF(C131="",K131,C131))</x:f>
      </x:c>
      <x:c r="I131" s="982"/>
      <x:c r="J131" s="982"/>
      <x:c r="K131" s="990" t="str">
        <x:f>IFERROR(INDEX($N$6:$N$205,MATCH(A131,$L$6:$L$205,0)),"")</x:f>
      </x:c>
    </x:row>
    <x:row r="132">
      <x:c r="A132" s="982"/>
      <x:c r="B132" s="982"/>
      <x:c r="C132" s="982"/>
      <x:c r="D132" s="982"/>
      <x:c r="E132" s="997"/>
      <x:c r="F132" s="997"/>
      <x:c r="G132" s="1002" t="str">
        <x:f>IF(OR(B132="",D132="",IF(C132="",K132,C132)=""),"",B132*IF(C132="",K132,C132)*D132*F132)</x:f>
      </x:c>
      <x:c r="H132" s="1002" t="str">
        <x:f>IF(OR(B132="",IF(C132="",K132,C132)=""),"",B132*IF(C132="",K132,C132))</x:f>
      </x:c>
      <x:c r="I132" s="982"/>
      <x:c r="J132" s="982"/>
      <x:c r="K132" s="990" t="str">
        <x:f>IFERROR(INDEX($N$6:$N$205,MATCH(A132,$L$6:$L$205,0)),"")</x:f>
      </x:c>
    </x:row>
    <x:row r="133">
      <x:c r="A133" s="982"/>
      <x:c r="B133" s="982"/>
      <x:c r="C133" s="982"/>
      <x:c r="D133" s="982"/>
      <x:c r="E133" s="997"/>
      <x:c r="F133" s="997"/>
      <x:c r="G133" s="1002" t="str">
        <x:f>IF(OR(B133="",D133="",IF(C133="",K133,C133)=""),"",B133*IF(C133="",K133,C133)*D133*F133)</x:f>
      </x:c>
      <x:c r="H133" s="1002" t="str">
        <x:f>IF(OR(B133="",IF(C133="",K133,C133)=""),"",B133*IF(C133="",K133,C133))</x:f>
      </x:c>
      <x:c r="I133" s="982"/>
      <x:c r="J133" s="982"/>
      <x:c r="K133" s="990" t="str">
        <x:f>IFERROR(INDEX($N$6:$N$205,MATCH(A133,$L$6:$L$205,0)),"")</x:f>
      </x:c>
    </x:row>
    <x:row r="134">
      <x:c r="A134" s="982"/>
      <x:c r="B134" s="982"/>
      <x:c r="C134" s="982"/>
      <x:c r="D134" s="982"/>
      <x:c r="E134" s="997"/>
      <x:c r="F134" s="997"/>
      <x:c r="G134" s="1002" t="str">
        <x:f>IF(OR(B134="",D134="",IF(C134="",K134,C134)=""),"",B134*IF(C134="",K134,C134)*D134*F134)</x:f>
      </x:c>
      <x:c r="H134" s="1002" t="str">
        <x:f>IF(OR(B134="",IF(C134="",K134,C134)=""),"",B134*IF(C134="",K134,C134))</x:f>
      </x:c>
      <x:c r="I134" s="982"/>
      <x:c r="J134" s="982"/>
      <x:c r="K134" s="990" t="str">
        <x:f>IFERROR(INDEX($N$6:$N$205,MATCH(A134,$L$6:$L$205,0)),"")</x:f>
      </x:c>
    </x:row>
    <x:row r="135">
      <x:c r="A135" s="982"/>
      <x:c r="B135" s="982"/>
      <x:c r="C135" s="982"/>
      <x:c r="D135" s="982"/>
      <x:c r="E135" s="997"/>
      <x:c r="F135" s="997"/>
      <x:c r="G135" s="1002" t="str">
        <x:f>IF(OR(B135="",D135="",IF(C135="",K135,C135)=""),"",B135*IF(C135="",K135,C135)*D135*F135)</x:f>
      </x:c>
      <x:c r="H135" s="1002" t="str">
        <x:f>IF(OR(B135="",IF(C135="",K135,C135)=""),"",B135*IF(C135="",K135,C135))</x:f>
      </x:c>
      <x:c r="I135" s="982"/>
      <x:c r="J135" s="982"/>
      <x:c r="K135" s="990" t="str">
        <x:f>IFERROR(INDEX($N$6:$N$205,MATCH(A135,$L$6:$L$205,0)),"")</x:f>
      </x:c>
    </x:row>
    <x:row r="136">
      <x:c r="A136" s="982"/>
      <x:c r="B136" s="982"/>
      <x:c r="C136" s="982"/>
      <x:c r="D136" s="982"/>
      <x:c r="E136" s="997"/>
      <x:c r="F136" s="997"/>
      <x:c r="G136" s="1002" t="str">
        <x:f>IF(OR(B136="",D136="",IF(C136="",K136,C136)=""),"",B136*IF(C136="",K136,C136)*D136*F136)</x:f>
      </x:c>
      <x:c r="H136" s="1002" t="str">
        <x:f>IF(OR(B136="",IF(C136="",K136,C136)=""),"",B136*IF(C136="",K136,C136))</x:f>
      </x:c>
      <x:c r="I136" s="982"/>
      <x:c r="J136" s="982"/>
      <x:c r="K136" s="990" t="str">
        <x:f>IFERROR(INDEX($N$6:$N$205,MATCH(A136,$L$6:$L$205,0)),"")</x:f>
      </x:c>
    </x:row>
    <x:row r="137">
      <x:c r="A137" s="982"/>
      <x:c r="B137" s="982"/>
      <x:c r="C137" s="982"/>
      <x:c r="D137" s="982"/>
      <x:c r="E137" s="997"/>
      <x:c r="F137" s="997"/>
      <x:c r="G137" s="1002" t="str">
        <x:f>IF(OR(B137="",D137="",IF(C137="",K137,C137)=""),"",B137*IF(C137="",K137,C137)*D137*F137)</x:f>
      </x:c>
      <x:c r="H137" s="1002" t="str">
        <x:f>IF(OR(B137="",IF(C137="",K137,C137)=""),"",B137*IF(C137="",K137,C137))</x:f>
      </x:c>
      <x:c r="I137" s="982"/>
      <x:c r="J137" s="982"/>
      <x:c r="K137" s="990" t="str">
        <x:f>IFERROR(INDEX($N$6:$N$205,MATCH(A137,$L$6:$L$205,0)),"")</x:f>
      </x:c>
    </x:row>
    <x:row r="138">
      <x:c r="A138" s="982"/>
      <x:c r="B138" s="982"/>
      <x:c r="C138" s="982"/>
      <x:c r="D138" s="982"/>
      <x:c r="E138" s="997"/>
      <x:c r="F138" s="997"/>
      <x:c r="G138" s="1002" t="str">
        <x:f>IF(OR(B138="",D138="",IF(C138="",K138,C138)=""),"",B138*IF(C138="",K138,C138)*D138*F138)</x:f>
      </x:c>
      <x:c r="H138" s="1002" t="str">
        <x:f>IF(OR(B138="",IF(C138="",K138,C138)=""),"",B138*IF(C138="",K138,C138))</x:f>
      </x:c>
      <x:c r="I138" s="982"/>
      <x:c r="J138" s="982"/>
      <x:c r="K138" s="990" t="str">
        <x:f>IFERROR(INDEX($N$6:$N$205,MATCH(A138,$L$6:$L$205,0)),"")</x:f>
      </x:c>
    </x:row>
    <x:row r="139">
      <x:c r="A139" s="982"/>
      <x:c r="B139" s="982"/>
      <x:c r="C139" s="982"/>
      <x:c r="D139" s="982"/>
      <x:c r="E139" s="997"/>
      <x:c r="F139" s="997"/>
      <x:c r="G139" s="1002" t="str">
        <x:f>IF(OR(B139="",D139="",IF(C139="",K139,C139)=""),"",B139*IF(C139="",K139,C139)*D139*F139)</x:f>
      </x:c>
      <x:c r="H139" s="1002" t="str">
        <x:f>IF(OR(B139="",IF(C139="",K139,C139)=""),"",B139*IF(C139="",K139,C139))</x:f>
      </x:c>
      <x:c r="I139" s="982"/>
      <x:c r="J139" s="982"/>
      <x:c r="K139" s="990" t="str">
        <x:f>IFERROR(INDEX($N$6:$N$205,MATCH(A139,$L$6:$L$205,0)),"")</x:f>
      </x:c>
    </x:row>
    <x:row r="140">
      <x:c r="A140" s="982"/>
      <x:c r="B140" s="982"/>
      <x:c r="C140" s="982"/>
      <x:c r="D140" s="982"/>
      <x:c r="E140" s="997"/>
      <x:c r="F140" s="997"/>
      <x:c r="G140" s="1002" t="str">
        <x:f>IF(OR(B140="",D140="",IF(C140="",K140,C140)=""),"",B140*IF(C140="",K140,C140)*D140*F140)</x:f>
      </x:c>
      <x:c r="H140" s="1002" t="str">
        <x:f>IF(OR(B140="",IF(C140="",K140,C140)=""),"",B140*IF(C140="",K140,C140))</x:f>
      </x:c>
      <x:c r="I140" s="982"/>
      <x:c r="J140" s="982"/>
      <x:c r="K140" s="990" t="str">
        <x:f>IFERROR(INDEX($N$6:$N$205,MATCH(A140,$L$6:$L$205,0)),"")</x:f>
      </x:c>
    </x:row>
    <x:row r="141">
      <x:c r="A141" s="982"/>
      <x:c r="B141" s="982"/>
      <x:c r="C141" s="982"/>
      <x:c r="D141" s="982"/>
      <x:c r="E141" s="997"/>
      <x:c r="F141" s="997"/>
      <x:c r="G141" s="1002" t="str">
        <x:f>IF(OR(B141="",D141="",IF(C141="",K141,C141)=""),"",B141*IF(C141="",K141,C141)*D141*F141)</x:f>
      </x:c>
      <x:c r="H141" s="1002" t="str">
        <x:f>IF(OR(B141="",IF(C141="",K141,C141)=""),"",B141*IF(C141="",K141,C141))</x:f>
      </x:c>
      <x:c r="I141" s="982"/>
      <x:c r="J141" s="982"/>
      <x:c r="K141" s="990" t="str">
        <x:f>IFERROR(INDEX($N$6:$N$205,MATCH(A141,$L$6:$L$205,0)),"")</x:f>
      </x:c>
    </x:row>
    <x:row r="142">
      <x:c r="A142" s="982"/>
      <x:c r="B142" s="982"/>
      <x:c r="C142" s="982"/>
      <x:c r="D142" s="982"/>
      <x:c r="E142" s="997"/>
      <x:c r="F142" s="997"/>
      <x:c r="G142" s="1002" t="str">
        <x:f>IF(OR(B142="",D142="",IF(C142="",K142,C142)=""),"",B142*IF(C142="",K142,C142)*D142*F142)</x:f>
      </x:c>
      <x:c r="H142" s="1002" t="str">
        <x:f>IF(OR(B142="",IF(C142="",K142,C142)=""),"",B142*IF(C142="",K142,C142))</x:f>
      </x:c>
      <x:c r="I142" s="982"/>
      <x:c r="J142" s="982"/>
      <x:c r="K142" s="990" t="str">
        <x:f>IFERROR(INDEX($N$6:$N$205,MATCH(A142,$L$6:$L$205,0)),"")</x:f>
      </x:c>
    </x:row>
    <x:row r="143">
      <x:c r="A143" s="982"/>
      <x:c r="B143" s="982"/>
      <x:c r="C143" s="982"/>
      <x:c r="D143" s="982"/>
      <x:c r="E143" s="997"/>
      <x:c r="F143" s="997"/>
      <x:c r="G143" s="1002" t="str">
        <x:f>IF(OR(B143="",D143="",IF(C143="",K143,C143)=""),"",B143*IF(C143="",K143,C143)*D143*F143)</x:f>
      </x:c>
      <x:c r="H143" s="1002" t="str">
        <x:f>IF(OR(B143="",IF(C143="",K143,C143)=""),"",B143*IF(C143="",K143,C143))</x:f>
      </x:c>
      <x:c r="I143" s="982"/>
      <x:c r="J143" s="982"/>
      <x:c r="K143" s="990" t="str">
        <x:f>IFERROR(INDEX($N$6:$N$205,MATCH(A143,$L$6:$L$205,0)),"")</x:f>
      </x:c>
    </x:row>
    <x:row r="144">
      <x:c r="A144" s="982"/>
      <x:c r="B144" s="982"/>
      <x:c r="C144" s="982"/>
      <x:c r="D144" s="982"/>
      <x:c r="E144" s="997"/>
      <x:c r="F144" s="997"/>
      <x:c r="G144" s="1002" t="str">
        <x:f>IF(OR(B144="",D144="",IF(C144="",K144,C144)=""),"",B144*IF(C144="",K144,C144)*D144*F144)</x:f>
      </x:c>
      <x:c r="H144" s="1002" t="str">
        <x:f>IF(OR(B144="",IF(C144="",K144,C144)=""),"",B144*IF(C144="",K144,C144))</x:f>
      </x:c>
      <x:c r="I144" s="982"/>
      <x:c r="J144" s="982"/>
      <x:c r="K144" s="990" t="str">
        <x:f>IFERROR(INDEX($N$6:$N$205,MATCH(A144,$L$6:$L$205,0)),"")</x:f>
      </x:c>
    </x:row>
    <x:row r="145">
      <x:c r="A145" s="982"/>
      <x:c r="B145" s="982"/>
      <x:c r="C145" s="982"/>
      <x:c r="D145" s="982"/>
      <x:c r="E145" s="997"/>
      <x:c r="F145" s="997"/>
      <x:c r="G145" s="1002" t="str">
        <x:f>IF(OR(B145="",D145="",IF(C145="",K145,C145)=""),"",B145*IF(C145="",K145,C145)*D145*F145)</x:f>
      </x:c>
      <x:c r="H145" s="1002" t="str">
        <x:f>IF(OR(B145="",IF(C145="",K145,C145)=""),"",B145*IF(C145="",K145,C145))</x:f>
      </x:c>
      <x:c r="I145" s="982"/>
      <x:c r="J145" s="982"/>
      <x:c r="K145" s="990" t="str">
        <x:f>IFERROR(INDEX($N$6:$N$205,MATCH(A145,$L$6:$L$205,0)),"")</x:f>
      </x:c>
    </x:row>
    <x:row r="146">
      <x:c r="A146" s="982"/>
      <x:c r="B146" s="982"/>
      <x:c r="C146" s="982"/>
      <x:c r="D146" s="982"/>
      <x:c r="E146" s="997"/>
      <x:c r="F146" s="997"/>
      <x:c r="G146" s="1002" t="str">
        <x:f>IF(OR(B146="",D146="",IF(C146="",K146,C146)=""),"",B146*IF(C146="",K146,C146)*D146*F146)</x:f>
      </x:c>
      <x:c r="H146" s="1002" t="str">
        <x:f>IF(OR(B146="",IF(C146="",K146,C146)=""),"",B146*IF(C146="",K146,C146))</x:f>
      </x:c>
      <x:c r="I146" s="982"/>
      <x:c r="J146" s="982"/>
      <x:c r="K146" s="990" t="str">
        <x:f>IFERROR(INDEX($N$6:$N$205,MATCH(A146,$L$6:$L$205,0)),"")</x:f>
      </x:c>
    </x:row>
    <x:row r="147">
      <x:c r="A147" s="982"/>
      <x:c r="B147" s="982"/>
      <x:c r="C147" s="982"/>
      <x:c r="D147" s="982"/>
      <x:c r="E147" s="997"/>
      <x:c r="F147" s="997"/>
      <x:c r="G147" s="1002" t="str">
        <x:f>IF(OR(B147="",D147="",IF(C147="",K147,C147)=""),"",B147*IF(C147="",K147,C147)*D147*F147)</x:f>
      </x:c>
      <x:c r="H147" s="1002" t="str">
        <x:f>IF(OR(B147="",IF(C147="",K147,C147)=""),"",B147*IF(C147="",K147,C147))</x:f>
      </x:c>
      <x:c r="I147" s="982"/>
      <x:c r="J147" s="982"/>
      <x:c r="K147" s="990" t="str">
        <x:f>IFERROR(INDEX($N$6:$N$205,MATCH(A147,$L$6:$L$205,0)),"")</x:f>
      </x:c>
    </x:row>
    <x:row r="148">
      <x:c r="A148" s="982"/>
      <x:c r="B148" s="982"/>
      <x:c r="C148" s="982"/>
      <x:c r="D148" s="982"/>
      <x:c r="E148" s="997"/>
      <x:c r="F148" s="997"/>
      <x:c r="G148" s="1002" t="str">
        <x:f>IF(OR(B148="",D148="",IF(C148="",K148,C148)=""),"",B148*IF(C148="",K148,C148)*D148*F148)</x:f>
      </x:c>
      <x:c r="H148" s="1002" t="str">
        <x:f>IF(OR(B148="",IF(C148="",K148,C148)=""),"",B148*IF(C148="",K148,C148))</x:f>
      </x:c>
      <x:c r="I148" s="982"/>
      <x:c r="J148" s="982"/>
      <x:c r="K148" s="990" t="str">
        <x:f>IFERROR(INDEX($N$6:$N$205,MATCH(A148,$L$6:$L$205,0)),"")</x:f>
      </x:c>
    </x:row>
    <x:row r="149">
      <x:c r="A149" s="982"/>
      <x:c r="B149" s="982"/>
      <x:c r="C149" s="982"/>
      <x:c r="D149" s="982"/>
      <x:c r="E149" s="997"/>
      <x:c r="F149" s="997"/>
      <x:c r="G149" s="1002" t="str">
        <x:f>IF(OR(B149="",D149="",IF(C149="",K149,C149)=""),"",B149*IF(C149="",K149,C149)*D149*F149)</x:f>
      </x:c>
      <x:c r="H149" s="1002" t="str">
        <x:f>IF(OR(B149="",IF(C149="",K149,C149)=""),"",B149*IF(C149="",K149,C149))</x:f>
      </x:c>
      <x:c r="I149" s="982"/>
      <x:c r="J149" s="982"/>
      <x:c r="K149" s="990" t="str">
        <x:f>IFERROR(INDEX($N$6:$N$205,MATCH(A149,$L$6:$L$205,0)),"")</x:f>
      </x:c>
    </x:row>
    <x:row r="150">
      <x:c r="A150" s="982"/>
      <x:c r="B150" s="982"/>
      <x:c r="C150" s="982"/>
      <x:c r="D150" s="982"/>
      <x:c r="E150" s="997"/>
      <x:c r="F150" s="997"/>
      <x:c r="G150" s="1002" t="str">
        <x:f>IF(OR(B150="",D150="",IF(C150="",K150,C150)=""),"",B150*IF(C150="",K150,C150)*D150*F150)</x:f>
      </x:c>
      <x:c r="H150" s="1002" t="str">
        <x:f>IF(OR(B150="",IF(C150="",K150,C150)=""),"",B150*IF(C150="",K150,C150))</x:f>
      </x:c>
      <x:c r="I150" s="982"/>
      <x:c r="J150" s="982"/>
      <x:c r="K150" s="990" t="str">
        <x:f>IFERROR(INDEX($N$6:$N$205,MATCH(A150,$L$6:$L$205,0)),"")</x:f>
      </x:c>
    </x:row>
    <x:row r="151">
      <x:c r="A151" s="982"/>
      <x:c r="B151" s="982"/>
      <x:c r="C151" s="982"/>
      <x:c r="D151" s="982"/>
      <x:c r="E151" s="997"/>
      <x:c r="F151" s="997"/>
      <x:c r="G151" s="1002" t="str">
        <x:f>IF(OR(B151="",D151="",IF(C151="",K151,C151)=""),"",B151*IF(C151="",K151,C151)*D151*F151)</x:f>
      </x:c>
      <x:c r="H151" s="1002" t="str">
        <x:f>IF(OR(B151="",IF(C151="",K151,C151)=""),"",B151*IF(C151="",K151,C151))</x:f>
      </x:c>
      <x:c r="I151" s="982"/>
      <x:c r="J151" s="982"/>
      <x:c r="K151" s="990" t="str">
        <x:f>IFERROR(INDEX($N$6:$N$205,MATCH(A151,$L$6:$L$205,0)),"")</x:f>
      </x:c>
    </x:row>
    <x:row r="152">
      <x:c r="A152" s="982"/>
      <x:c r="B152" s="982"/>
      <x:c r="C152" s="982"/>
      <x:c r="D152" s="982"/>
      <x:c r="E152" s="997"/>
      <x:c r="F152" s="997"/>
      <x:c r="G152" s="1002" t="str">
        <x:f>IF(OR(B152="",D152="",IF(C152="",K152,C152)=""),"",B152*IF(C152="",K152,C152)*D152*F152)</x:f>
      </x:c>
      <x:c r="H152" s="1002" t="str">
        <x:f>IF(OR(B152="",IF(C152="",K152,C152)=""),"",B152*IF(C152="",K152,C152))</x:f>
      </x:c>
      <x:c r="I152" s="982"/>
      <x:c r="J152" s="982"/>
      <x:c r="K152" s="990" t="str">
        <x:f>IFERROR(INDEX($N$6:$N$205,MATCH(A152,$L$6:$L$205,0)),"")</x:f>
      </x:c>
    </x:row>
    <x:row r="153">
      <x:c r="A153" s="982"/>
      <x:c r="B153" s="982"/>
      <x:c r="C153" s="982"/>
      <x:c r="D153" s="982"/>
      <x:c r="E153" s="997"/>
      <x:c r="F153" s="997"/>
      <x:c r="G153" s="1002" t="str">
        <x:f>IF(OR(B153="",D153="",IF(C153="",K153,C153)=""),"",B153*IF(C153="",K153,C153)*D153*F153)</x:f>
      </x:c>
      <x:c r="H153" s="1002" t="str">
        <x:f>IF(OR(B153="",IF(C153="",K153,C153)=""),"",B153*IF(C153="",K153,C153))</x:f>
      </x:c>
      <x:c r="I153" s="982"/>
      <x:c r="J153" s="982"/>
      <x:c r="K153" s="990" t="str">
        <x:f>IFERROR(INDEX($N$6:$N$205,MATCH(A153,$L$6:$L$205,0)),"")</x:f>
      </x:c>
    </x:row>
    <x:row r="154">
      <x:c r="A154" s="982"/>
      <x:c r="B154" s="982"/>
      <x:c r="C154" s="982"/>
      <x:c r="D154" s="982"/>
      <x:c r="E154" s="997"/>
      <x:c r="F154" s="997"/>
      <x:c r="G154" s="1002" t="str">
        <x:f>IF(OR(B154="",D154="",IF(C154="",K154,C154)=""),"",B154*IF(C154="",K154,C154)*D154*F154)</x:f>
      </x:c>
      <x:c r="H154" s="1002" t="str">
        <x:f>IF(OR(B154="",IF(C154="",K154,C154)=""),"",B154*IF(C154="",K154,C154))</x:f>
      </x:c>
      <x:c r="I154" s="982"/>
      <x:c r="J154" s="982"/>
      <x:c r="K154" s="990" t="str">
        <x:f>IFERROR(INDEX($N$6:$N$205,MATCH(A154,$L$6:$L$205,0)),"")</x:f>
      </x:c>
    </x:row>
    <x:row r="155">
      <x:c r="A155" s="982"/>
      <x:c r="B155" s="982"/>
      <x:c r="C155" s="982"/>
      <x:c r="D155" s="982"/>
      <x:c r="E155" s="997"/>
      <x:c r="F155" s="997"/>
      <x:c r="G155" s="1002" t="str">
        <x:f>IF(OR(B155="",D155="",IF(C155="",K155,C155)=""),"",B155*IF(C155="",K155,C155)*D155*F155)</x:f>
      </x:c>
      <x:c r="H155" s="1002" t="str">
        <x:f>IF(OR(B155="",IF(C155="",K155,C155)=""),"",B155*IF(C155="",K155,C155))</x:f>
      </x:c>
      <x:c r="I155" s="982"/>
      <x:c r="J155" s="982"/>
      <x:c r="K155" s="990" t="str">
        <x:f>IFERROR(INDEX($N$6:$N$205,MATCH(A155,$L$6:$L$205,0)),"")</x:f>
      </x:c>
    </x:row>
    <x:row r="156">
      <x:c r="A156" s="982"/>
      <x:c r="B156" s="982"/>
      <x:c r="C156" s="982"/>
      <x:c r="D156" s="982"/>
      <x:c r="E156" s="997"/>
      <x:c r="F156" s="997"/>
      <x:c r="G156" s="1002" t="str">
        <x:f>IF(OR(B156="",D156="",IF(C156="",K156,C156)=""),"",B156*IF(C156="",K156,C156)*D156*F156)</x:f>
      </x:c>
      <x:c r="H156" s="1002" t="str">
        <x:f>IF(OR(B156="",IF(C156="",K156,C156)=""),"",B156*IF(C156="",K156,C156))</x:f>
      </x:c>
      <x:c r="I156" s="982"/>
      <x:c r="J156" s="982"/>
      <x:c r="K156" s="990" t="str">
        <x:f>IFERROR(INDEX($N$6:$N$205,MATCH(A156,$L$6:$L$205,0)),"")</x:f>
      </x:c>
    </x:row>
    <x:row r="157">
      <x:c r="A157" s="982"/>
      <x:c r="B157" s="982"/>
      <x:c r="C157" s="982"/>
      <x:c r="D157" s="982"/>
      <x:c r="E157" s="997"/>
      <x:c r="F157" s="997"/>
      <x:c r="G157" s="1002" t="str">
        <x:f>IF(OR(B157="",D157="",IF(C157="",K157,C157)=""),"",B157*IF(C157="",K157,C157)*D157*F157)</x:f>
      </x:c>
      <x:c r="H157" s="1002" t="str">
        <x:f>IF(OR(B157="",IF(C157="",K157,C157)=""),"",B157*IF(C157="",K157,C157))</x:f>
      </x:c>
      <x:c r="I157" s="982"/>
      <x:c r="J157" s="982"/>
      <x:c r="K157" s="990" t="str">
        <x:f>IFERROR(INDEX($N$6:$N$205,MATCH(A157,$L$6:$L$205,0)),"")</x:f>
      </x:c>
    </x:row>
    <x:row r="158">
      <x:c r="A158" s="982"/>
      <x:c r="B158" s="982"/>
      <x:c r="C158" s="982"/>
      <x:c r="D158" s="982"/>
      <x:c r="E158" s="997"/>
      <x:c r="F158" s="997"/>
      <x:c r="G158" s="1002" t="str">
        <x:f>IF(OR(B158="",D158="",IF(C158="",K158,C158)=""),"",B158*IF(C158="",K158,C158)*D158*F158)</x:f>
      </x:c>
      <x:c r="H158" s="1002" t="str">
        <x:f>IF(OR(B158="",IF(C158="",K158,C158)=""),"",B158*IF(C158="",K158,C158))</x:f>
      </x:c>
      <x:c r="I158" s="982"/>
      <x:c r="J158" s="982"/>
      <x:c r="K158" s="990" t="str">
        <x:f>IFERROR(INDEX($N$6:$N$205,MATCH(A158,$L$6:$L$205,0)),"")</x:f>
      </x:c>
    </x:row>
    <x:row r="159">
      <x:c r="A159" s="982"/>
      <x:c r="B159" s="982"/>
      <x:c r="C159" s="982"/>
      <x:c r="D159" s="982"/>
      <x:c r="E159" s="997"/>
      <x:c r="F159" s="997"/>
      <x:c r="G159" s="1002" t="str">
        <x:f>IF(OR(B159="",D159="",IF(C159="",K159,C159)=""),"",B159*IF(C159="",K159,C159)*D159*F159)</x:f>
      </x:c>
      <x:c r="H159" s="1002" t="str">
        <x:f>IF(OR(B159="",IF(C159="",K159,C159)=""),"",B159*IF(C159="",K159,C159))</x:f>
      </x:c>
      <x:c r="I159" s="982"/>
      <x:c r="J159" s="982"/>
      <x:c r="K159" s="990" t="str">
        <x:f>IFERROR(INDEX($N$6:$N$205,MATCH(A159,$L$6:$L$205,0)),"")</x:f>
      </x:c>
    </x:row>
    <x:row r="160">
      <x:c r="A160" s="982"/>
      <x:c r="B160" s="982"/>
      <x:c r="C160" s="982"/>
      <x:c r="D160" s="982"/>
      <x:c r="E160" s="997"/>
      <x:c r="F160" s="997"/>
      <x:c r="G160" s="1002" t="str">
        <x:f>IF(OR(B160="",D160="",IF(C160="",K160,C160)=""),"",B160*IF(C160="",K160,C160)*D160*F160)</x:f>
      </x:c>
      <x:c r="H160" s="1002" t="str">
        <x:f>IF(OR(B160="",IF(C160="",K160,C160)=""),"",B160*IF(C160="",K160,C160))</x:f>
      </x:c>
      <x:c r="I160" s="982"/>
      <x:c r="J160" s="982"/>
      <x:c r="K160" s="990" t="str">
        <x:f>IFERROR(INDEX($N$6:$N$205,MATCH(A160,$L$6:$L$205,0)),"")</x:f>
      </x:c>
    </x:row>
    <x:row r="161">
      <x:c r="A161" s="982"/>
      <x:c r="B161" s="982"/>
      <x:c r="C161" s="982"/>
      <x:c r="D161" s="982"/>
      <x:c r="E161" s="997"/>
      <x:c r="F161" s="997"/>
      <x:c r="G161" s="1002" t="str">
        <x:f>IF(OR(B161="",D161="",IF(C161="",K161,C161)=""),"",B161*IF(C161="",K161,C161)*D161*F161)</x:f>
      </x:c>
      <x:c r="H161" s="1002" t="str">
        <x:f>IF(OR(B161="",IF(C161="",K161,C161)=""),"",B161*IF(C161="",K161,C161))</x:f>
      </x:c>
      <x:c r="I161" s="982"/>
      <x:c r="J161" s="982"/>
      <x:c r="K161" s="990" t="str">
        <x:f>IFERROR(INDEX($N$6:$N$205,MATCH(A161,$L$6:$L$205,0)),"")</x:f>
      </x:c>
    </x:row>
    <x:row r="162">
      <x:c r="A162" s="982"/>
      <x:c r="B162" s="982"/>
      <x:c r="C162" s="982"/>
      <x:c r="D162" s="982"/>
      <x:c r="E162" s="997"/>
      <x:c r="F162" s="997"/>
      <x:c r="G162" s="1002" t="str">
        <x:f>IF(OR(B162="",D162="",IF(C162="",K162,C162)=""),"",B162*IF(C162="",K162,C162)*D162*F162)</x:f>
      </x:c>
      <x:c r="H162" s="1002" t="str">
        <x:f>IF(OR(B162="",IF(C162="",K162,C162)=""),"",B162*IF(C162="",K162,C162))</x:f>
      </x:c>
      <x:c r="I162" s="982"/>
      <x:c r="J162" s="982"/>
      <x:c r="K162" s="990" t="str">
        <x:f>IFERROR(INDEX($N$6:$N$205,MATCH(A162,$L$6:$L$205,0)),"")</x:f>
      </x:c>
    </x:row>
    <x:row r="163">
      <x:c r="A163" s="982"/>
      <x:c r="B163" s="982"/>
      <x:c r="C163" s="982"/>
      <x:c r="D163" s="982"/>
      <x:c r="E163" s="997"/>
      <x:c r="F163" s="997"/>
      <x:c r="G163" s="1002" t="str">
        <x:f>IF(OR(B163="",D163="",IF(C163="",K163,C163)=""),"",B163*IF(C163="",K163,C163)*D163*F163)</x:f>
      </x:c>
      <x:c r="H163" s="1002" t="str">
        <x:f>IF(OR(B163="",IF(C163="",K163,C163)=""),"",B163*IF(C163="",K163,C163))</x:f>
      </x:c>
      <x:c r="I163" s="982"/>
      <x:c r="J163" s="982"/>
      <x:c r="K163" s="990" t="str">
        <x:f>IFERROR(INDEX($N$6:$N$205,MATCH(A163,$L$6:$L$205,0)),"")</x:f>
      </x:c>
    </x:row>
    <x:row r="164">
      <x:c r="A164" s="982"/>
      <x:c r="B164" s="982"/>
      <x:c r="C164" s="982"/>
      <x:c r="D164" s="982"/>
      <x:c r="E164" s="997"/>
      <x:c r="F164" s="997"/>
      <x:c r="G164" s="1002" t="str">
        <x:f>IF(OR(B164="",D164="",IF(C164="",K164,C164)=""),"",B164*IF(C164="",K164,C164)*D164*F164)</x:f>
      </x:c>
      <x:c r="H164" s="1002" t="str">
        <x:f>IF(OR(B164="",IF(C164="",K164,C164)=""),"",B164*IF(C164="",K164,C164))</x:f>
      </x:c>
      <x:c r="I164" s="982"/>
      <x:c r="J164" s="982"/>
      <x:c r="K164" s="990" t="str">
        <x:f>IFERROR(INDEX($N$6:$N$205,MATCH(A164,$L$6:$L$205,0)),"")</x:f>
      </x:c>
    </x:row>
    <x:row r="165">
      <x:c r="A165" s="982"/>
      <x:c r="B165" s="982"/>
      <x:c r="C165" s="982"/>
      <x:c r="D165" s="982"/>
      <x:c r="E165" s="997"/>
      <x:c r="F165" s="997"/>
      <x:c r="G165" s="1002" t="str">
        <x:f>IF(OR(B165="",D165="",IF(C165="",K165,C165)=""),"",B165*IF(C165="",K165,C165)*D165*F165)</x:f>
      </x:c>
      <x:c r="H165" s="1002" t="str">
        <x:f>IF(OR(B165="",IF(C165="",K165,C165)=""),"",B165*IF(C165="",K165,C165))</x:f>
      </x:c>
      <x:c r="I165" s="982"/>
      <x:c r="J165" s="982"/>
      <x:c r="K165" s="990" t="str">
        <x:f>IFERROR(INDEX($N$6:$N$205,MATCH(A165,$L$6:$L$205,0)),"")</x:f>
      </x:c>
    </x:row>
    <x:row r="166">
      <x:c r="A166" s="982"/>
      <x:c r="B166" s="982"/>
      <x:c r="C166" s="982"/>
      <x:c r="D166" s="982"/>
      <x:c r="E166" s="997"/>
      <x:c r="F166" s="997"/>
      <x:c r="G166" s="1002" t="str">
        <x:f>IF(OR(B166="",D166="",IF(C166="",K166,C166)=""),"",B166*IF(C166="",K166,C166)*D166*F166)</x:f>
      </x:c>
      <x:c r="H166" s="1002" t="str">
        <x:f>IF(OR(B166="",IF(C166="",K166,C166)=""),"",B166*IF(C166="",K166,C166))</x:f>
      </x:c>
      <x:c r="I166" s="982"/>
      <x:c r="J166" s="982"/>
      <x:c r="K166" s="990" t="str">
        <x:f>IFERROR(INDEX($N$6:$N$205,MATCH(A166,$L$6:$L$205,0)),"")</x:f>
      </x:c>
    </x:row>
    <x:row r="167">
      <x:c r="A167" s="982"/>
      <x:c r="B167" s="982"/>
      <x:c r="C167" s="982"/>
      <x:c r="D167" s="982"/>
      <x:c r="E167" s="997"/>
      <x:c r="F167" s="997"/>
      <x:c r="G167" s="1002" t="str">
        <x:f>IF(OR(B167="",D167="",IF(C167="",K167,C167)=""),"",B167*IF(C167="",K167,C167)*D167*F167)</x:f>
      </x:c>
      <x:c r="H167" s="1002" t="str">
        <x:f>IF(OR(B167="",IF(C167="",K167,C167)=""),"",B167*IF(C167="",K167,C167))</x:f>
      </x:c>
      <x:c r="I167" s="982"/>
      <x:c r="J167" s="982"/>
      <x:c r="K167" s="990" t="str">
        <x:f>IFERROR(INDEX($N$6:$N$205,MATCH(A167,$L$6:$L$205,0)),"")</x:f>
      </x:c>
    </x:row>
    <x:row r="168">
      <x:c r="A168" s="982"/>
      <x:c r="B168" s="982"/>
      <x:c r="C168" s="982"/>
      <x:c r="D168" s="982"/>
      <x:c r="E168" s="997"/>
      <x:c r="F168" s="997"/>
      <x:c r="G168" s="1002" t="str">
        <x:f>IF(OR(B168="",D168="",IF(C168="",K168,C168)=""),"",B168*IF(C168="",K168,C168)*D168*F168)</x:f>
      </x:c>
      <x:c r="H168" s="1002" t="str">
        <x:f>IF(OR(B168="",IF(C168="",K168,C168)=""),"",B168*IF(C168="",K168,C168))</x:f>
      </x:c>
      <x:c r="I168" s="982"/>
      <x:c r="J168" s="982"/>
      <x:c r="K168" s="990" t="str">
        <x:f>IFERROR(INDEX($N$6:$N$205,MATCH(A168,$L$6:$L$205,0)),"")</x:f>
      </x:c>
    </x:row>
    <x:row r="169">
      <x:c r="A169" s="982"/>
      <x:c r="B169" s="982"/>
      <x:c r="C169" s="982"/>
      <x:c r="D169" s="982"/>
      <x:c r="E169" s="997"/>
      <x:c r="F169" s="997"/>
      <x:c r="G169" s="1002" t="str">
        <x:f>IF(OR(B169="",D169="",IF(C169="",K169,C169)=""),"",B169*IF(C169="",K169,C169)*D169*F169)</x:f>
      </x:c>
      <x:c r="H169" s="1002" t="str">
        <x:f>IF(OR(B169="",IF(C169="",K169,C169)=""),"",B169*IF(C169="",K169,C169))</x:f>
      </x:c>
      <x:c r="I169" s="982"/>
      <x:c r="J169" s="982"/>
      <x:c r="K169" s="990" t="str">
        <x:f>IFERROR(INDEX($N$6:$N$205,MATCH(A169,$L$6:$L$205,0)),"")</x:f>
      </x:c>
    </x:row>
    <x:row r="170">
      <x:c r="A170" s="982"/>
      <x:c r="B170" s="982"/>
      <x:c r="C170" s="982"/>
      <x:c r="D170" s="982"/>
      <x:c r="E170" s="997"/>
      <x:c r="F170" s="997"/>
      <x:c r="G170" s="1002" t="str">
        <x:f>IF(OR(B170="",D170="",IF(C170="",K170,C170)=""),"",B170*IF(C170="",K170,C170)*D170*F170)</x:f>
      </x:c>
      <x:c r="H170" s="1002" t="str">
        <x:f>IF(OR(B170="",IF(C170="",K170,C170)=""),"",B170*IF(C170="",K170,C170))</x:f>
      </x:c>
      <x:c r="I170" s="982"/>
      <x:c r="J170" s="982"/>
      <x:c r="K170" s="990" t="str">
        <x:f>IFERROR(INDEX($N$6:$N$205,MATCH(A170,$L$6:$L$205,0)),"")</x:f>
      </x:c>
    </x:row>
    <x:row r="171">
      <x:c r="A171" s="982"/>
      <x:c r="B171" s="982"/>
      <x:c r="C171" s="982"/>
      <x:c r="D171" s="982"/>
      <x:c r="E171" s="997"/>
      <x:c r="F171" s="997"/>
      <x:c r="G171" s="1002" t="str">
        <x:f>IF(OR(B171="",D171="",IF(C171="",K171,C171)=""),"",B171*IF(C171="",K171,C171)*D171*F171)</x:f>
      </x:c>
      <x:c r="H171" s="1002" t="str">
        <x:f>IF(OR(B171="",IF(C171="",K171,C171)=""),"",B171*IF(C171="",K171,C171))</x:f>
      </x:c>
      <x:c r="I171" s="982"/>
      <x:c r="J171" s="982"/>
      <x:c r="K171" s="990" t="str">
        <x:f>IFERROR(INDEX($N$6:$N$205,MATCH(A171,$L$6:$L$205,0)),"")</x:f>
      </x:c>
    </x:row>
    <x:row r="172">
      <x:c r="A172" s="982"/>
      <x:c r="B172" s="982"/>
      <x:c r="C172" s="982"/>
      <x:c r="D172" s="982"/>
      <x:c r="E172" s="997"/>
      <x:c r="F172" s="997"/>
      <x:c r="G172" s="1002" t="str">
        <x:f>IF(OR(B172="",D172="",IF(C172="",K172,C172)=""),"",B172*IF(C172="",K172,C172)*D172*F172)</x:f>
      </x:c>
      <x:c r="H172" s="1002" t="str">
        <x:f>IF(OR(B172="",IF(C172="",K172,C172)=""),"",B172*IF(C172="",K172,C172))</x:f>
      </x:c>
      <x:c r="I172" s="982"/>
      <x:c r="J172" s="982"/>
      <x:c r="K172" s="990" t="str">
        <x:f>IFERROR(INDEX($N$6:$N$205,MATCH(A172,$L$6:$L$205,0)),"")</x:f>
      </x:c>
    </x:row>
    <x:row r="173">
      <x:c r="A173" s="982"/>
      <x:c r="B173" s="982"/>
      <x:c r="C173" s="982"/>
      <x:c r="D173" s="982"/>
      <x:c r="E173" s="997"/>
      <x:c r="F173" s="997"/>
      <x:c r="G173" s="1002" t="str">
        <x:f>IF(OR(B173="",D173="",IF(C173="",K173,C173)=""),"",B173*IF(C173="",K173,C173)*D173*F173)</x:f>
      </x:c>
      <x:c r="H173" s="1002" t="str">
        <x:f>IF(OR(B173="",IF(C173="",K173,C173)=""),"",B173*IF(C173="",K173,C173))</x:f>
      </x:c>
      <x:c r="I173" s="982"/>
      <x:c r="J173" s="982"/>
      <x:c r="K173" s="990" t="str">
        <x:f>IFERROR(INDEX($N$6:$N$205,MATCH(A173,$L$6:$L$205,0)),"")</x:f>
      </x:c>
    </x:row>
    <x:row r="174">
      <x:c r="A174" s="982"/>
      <x:c r="B174" s="982"/>
      <x:c r="C174" s="982"/>
      <x:c r="D174" s="982"/>
      <x:c r="E174" s="997"/>
      <x:c r="F174" s="997"/>
      <x:c r="G174" s="1002" t="str">
        <x:f>IF(OR(B174="",D174="",IF(C174="",K174,C174)=""),"",B174*IF(C174="",K174,C174)*D174*F174)</x:f>
      </x:c>
      <x:c r="H174" s="1002" t="str">
        <x:f>IF(OR(B174="",IF(C174="",K174,C174)=""),"",B174*IF(C174="",K174,C174))</x:f>
      </x:c>
      <x:c r="I174" s="982"/>
      <x:c r="J174" s="982"/>
      <x:c r="K174" s="990" t="str">
        <x:f>IFERROR(INDEX($N$6:$N$205,MATCH(A174,$L$6:$L$205,0)),"")</x:f>
      </x:c>
    </x:row>
    <x:row r="175">
      <x:c r="A175" s="982"/>
      <x:c r="B175" s="982"/>
      <x:c r="C175" s="982"/>
      <x:c r="D175" s="982"/>
      <x:c r="E175" s="997"/>
      <x:c r="F175" s="997"/>
      <x:c r="G175" s="1002" t="str">
        <x:f>IF(OR(B175="",D175="",IF(C175="",K175,C175)=""),"",B175*IF(C175="",K175,C175)*D175*F175)</x:f>
      </x:c>
      <x:c r="H175" s="1002" t="str">
        <x:f>IF(OR(B175="",IF(C175="",K175,C175)=""),"",B175*IF(C175="",K175,C175))</x:f>
      </x:c>
      <x:c r="I175" s="982"/>
      <x:c r="J175" s="982"/>
      <x:c r="K175" s="990" t="str">
        <x:f>IFERROR(INDEX($N$6:$N$205,MATCH(A175,$L$6:$L$205,0)),"")</x:f>
      </x:c>
    </x:row>
    <x:row r="176">
      <x:c r="A176" s="982"/>
      <x:c r="B176" s="982"/>
      <x:c r="C176" s="982"/>
      <x:c r="D176" s="982"/>
      <x:c r="E176" s="997"/>
      <x:c r="F176" s="997"/>
      <x:c r="G176" s="1002" t="str">
        <x:f>IF(OR(B176="",D176="",IF(C176="",K176,C176)=""),"",B176*IF(C176="",K176,C176)*D176*F176)</x:f>
      </x:c>
      <x:c r="H176" s="1002" t="str">
        <x:f>IF(OR(B176="",IF(C176="",K176,C176)=""),"",B176*IF(C176="",K176,C176))</x:f>
      </x:c>
      <x:c r="I176" s="982"/>
      <x:c r="J176" s="982"/>
      <x:c r="K176" s="990" t="str">
        <x:f>IFERROR(INDEX($N$6:$N$205,MATCH(A176,$L$6:$L$205,0)),"")</x:f>
      </x:c>
    </x:row>
    <x:row r="177">
      <x:c r="A177" s="982"/>
      <x:c r="B177" s="982"/>
      <x:c r="C177" s="982"/>
      <x:c r="D177" s="982"/>
      <x:c r="E177" s="997"/>
      <x:c r="F177" s="997"/>
      <x:c r="G177" s="1002" t="str">
        <x:f>IF(OR(B177="",D177="",IF(C177="",K177,C177)=""),"",B177*IF(C177="",K177,C177)*D177*F177)</x:f>
      </x:c>
      <x:c r="H177" s="1002" t="str">
        <x:f>IF(OR(B177="",IF(C177="",K177,C177)=""),"",B177*IF(C177="",K177,C177))</x:f>
      </x:c>
      <x:c r="I177" s="982"/>
      <x:c r="J177" s="982"/>
      <x:c r="K177" s="990" t="str">
        <x:f>IFERROR(INDEX($N$6:$N$205,MATCH(A177,$L$6:$L$205,0)),"")</x:f>
      </x:c>
    </x:row>
    <x:row r="178">
      <x:c r="A178" s="982"/>
      <x:c r="B178" s="982"/>
      <x:c r="C178" s="982"/>
      <x:c r="D178" s="982"/>
      <x:c r="E178" s="997"/>
      <x:c r="F178" s="997"/>
      <x:c r="G178" s="1002" t="str">
        <x:f>IF(OR(B178="",D178="",IF(C178="",K178,C178)=""),"",B178*IF(C178="",K178,C178)*D178*F178)</x:f>
      </x:c>
      <x:c r="H178" s="1002" t="str">
        <x:f>IF(OR(B178="",IF(C178="",K178,C178)=""),"",B178*IF(C178="",K178,C178))</x:f>
      </x:c>
      <x:c r="I178" s="982"/>
      <x:c r="J178" s="982"/>
      <x:c r="K178" s="990" t="str">
        <x:f>IFERROR(INDEX($N$6:$N$205,MATCH(A178,$L$6:$L$205,0)),"")</x:f>
      </x:c>
    </x:row>
    <x:row r="179">
      <x:c r="A179" s="982"/>
      <x:c r="B179" s="982"/>
      <x:c r="C179" s="982"/>
      <x:c r="D179" s="982"/>
      <x:c r="E179" s="997"/>
      <x:c r="F179" s="997"/>
      <x:c r="G179" s="1002" t="str">
        <x:f>IF(OR(B179="",D179="",IF(C179="",K179,C179)=""),"",B179*IF(C179="",K179,C179)*D179*F179)</x:f>
      </x:c>
      <x:c r="H179" s="1002" t="str">
        <x:f>IF(OR(B179="",IF(C179="",K179,C179)=""),"",B179*IF(C179="",K179,C179))</x:f>
      </x:c>
      <x:c r="I179" s="982"/>
      <x:c r="J179" s="982"/>
      <x:c r="K179" s="990" t="str">
        <x:f>IFERROR(INDEX($N$6:$N$205,MATCH(A179,$L$6:$L$205,0)),"")</x:f>
      </x:c>
    </x:row>
    <x:row r="180">
      <x:c r="A180" s="982"/>
      <x:c r="B180" s="982"/>
      <x:c r="C180" s="982"/>
      <x:c r="D180" s="982"/>
      <x:c r="E180" s="997"/>
      <x:c r="F180" s="997"/>
      <x:c r="G180" s="1002" t="str">
        <x:f>IF(OR(B180="",D180="",IF(C180="",K180,C180)=""),"",B180*IF(C180="",K180,C180)*D180*F180)</x:f>
      </x:c>
      <x:c r="H180" s="1002" t="str">
        <x:f>IF(OR(B180="",IF(C180="",K180,C180)=""),"",B180*IF(C180="",K180,C180))</x:f>
      </x:c>
      <x:c r="I180" s="982"/>
      <x:c r="J180" s="982"/>
      <x:c r="K180" s="990" t="str">
        <x:f>IFERROR(INDEX($N$6:$N$205,MATCH(A180,$L$6:$L$205,0)),"")</x:f>
      </x:c>
    </x:row>
    <x:row r="181">
      <x:c r="A181" s="982"/>
      <x:c r="B181" s="982"/>
      <x:c r="C181" s="982"/>
      <x:c r="D181" s="982"/>
      <x:c r="E181" s="997"/>
      <x:c r="F181" s="997"/>
      <x:c r="G181" s="1002" t="str">
        <x:f>IF(OR(B181="",D181="",IF(C181="",K181,C181)=""),"",B181*IF(C181="",K181,C181)*D181*F181)</x:f>
      </x:c>
      <x:c r="H181" s="1002" t="str">
        <x:f>IF(OR(B181="",IF(C181="",K181,C181)=""),"",B181*IF(C181="",K181,C181))</x:f>
      </x:c>
      <x:c r="I181" s="982"/>
      <x:c r="J181" s="982"/>
      <x:c r="K181" s="990" t="str">
        <x:f>IFERROR(INDEX($N$6:$N$205,MATCH(A181,$L$6:$L$205,0)),"")</x:f>
      </x:c>
    </x:row>
    <x:row r="182">
      <x:c r="A182" s="982"/>
      <x:c r="B182" s="982"/>
      <x:c r="C182" s="982"/>
      <x:c r="D182" s="982"/>
      <x:c r="E182" s="997"/>
      <x:c r="F182" s="997"/>
      <x:c r="G182" s="1002" t="str">
        <x:f>IF(OR(B182="",D182="",IF(C182="",K182,C182)=""),"",B182*IF(C182="",K182,C182)*D182*F182)</x:f>
      </x:c>
      <x:c r="H182" s="1002" t="str">
        <x:f>IF(OR(B182="",IF(C182="",K182,C182)=""),"",B182*IF(C182="",K182,C182))</x:f>
      </x:c>
      <x:c r="I182" s="982"/>
      <x:c r="J182" s="982"/>
      <x:c r="K182" s="990" t="str">
        <x:f>IFERROR(INDEX($N$6:$N$205,MATCH(A182,$L$6:$L$205,0)),"")</x:f>
      </x:c>
    </x:row>
    <x:row r="183">
      <x:c r="A183" s="982"/>
      <x:c r="B183" s="982"/>
      <x:c r="C183" s="982"/>
      <x:c r="D183" s="982"/>
      <x:c r="E183" s="997"/>
      <x:c r="F183" s="997"/>
      <x:c r="G183" s="1002" t="str">
        <x:f>IF(OR(B183="",D183="",IF(C183="",K183,C183)=""),"",B183*IF(C183="",K183,C183)*D183*F183)</x:f>
      </x:c>
      <x:c r="H183" s="1002" t="str">
        <x:f>IF(OR(B183="",IF(C183="",K183,C183)=""),"",B183*IF(C183="",K183,C183))</x:f>
      </x:c>
      <x:c r="I183" s="982"/>
      <x:c r="J183" s="982"/>
      <x:c r="K183" s="990" t="str">
        <x:f>IFERROR(INDEX($N$6:$N$205,MATCH(A183,$L$6:$L$205,0)),"")</x:f>
      </x:c>
    </x:row>
    <x:row r="184">
      <x:c r="A184" s="982"/>
      <x:c r="B184" s="982"/>
      <x:c r="C184" s="982"/>
      <x:c r="D184" s="982"/>
      <x:c r="E184" s="997"/>
      <x:c r="F184" s="997"/>
      <x:c r="G184" s="1002" t="str">
        <x:f>IF(OR(B184="",D184="",IF(C184="",K184,C184)=""),"",B184*IF(C184="",K184,C184)*D184*F184)</x:f>
      </x:c>
      <x:c r="H184" s="1002" t="str">
        <x:f>IF(OR(B184="",IF(C184="",K184,C184)=""),"",B184*IF(C184="",K184,C184))</x:f>
      </x:c>
      <x:c r="I184" s="982"/>
      <x:c r="J184" s="982"/>
      <x:c r="K184" s="990" t="str">
        <x:f>IFERROR(INDEX($N$6:$N$205,MATCH(A184,$L$6:$L$205,0)),"")</x:f>
      </x:c>
    </x:row>
    <x:row r="185">
      <x:c r="A185" s="982"/>
      <x:c r="B185" s="982"/>
      <x:c r="C185" s="982"/>
      <x:c r="D185" s="982"/>
      <x:c r="E185" s="997"/>
      <x:c r="F185" s="997"/>
      <x:c r="G185" s="1002" t="str">
        <x:f>IF(OR(B185="",D185="",IF(C185="",K185,C185)=""),"",B185*IF(C185="",K185,C185)*D185*F185)</x:f>
      </x:c>
      <x:c r="H185" s="1002" t="str">
        <x:f>IF(OR(B185="",IF(C185="",K185,C185)=""),"",B185*IF(C185="",K185,C185))</x:f>
      </x:c>
      <x:c r="I185" s="982"/>
      <x:c r="J185" s="982"/>
      <x:c r="K185" s="990" t="str">
        <x:f>IFERROR(INDEX($N$6:$N$205,MATCH(A185,$L$6:$L$205,0)),"")</x:f>
      </x:c>
    </x:row>
    <x:row r="186">
      <x:c r="A186" s="982"/>
      <x:c r="B186" s="982"/>
      <x:c r="C186" s="982"/>
      <x:c r="D186" s="982"/>
      <x:c r="E186" s="997"/>
      <x:c r="F186" s="997"/>
      <x:c r="G186" s="1002" t="str">
        <x:f>IF(OR(B186="",D186="",IF(C186="",K186,C186)=""),"",B186*IF(C186="",K186,C186)*D186*F186)</x:f>
      </x:c>
      <x:c r="H186" s="1002" t="str">
        <x:f>IF(OR(B186="",IF(C186="",K186,C186)=""),"",B186*IF(C186="",K186,C186))</x:f>
      </x:c>
      <x:c r="I186" s="982"/>
      <x:c r="J186" s="982"/>
      <x:c r="K186" s="990" t="str">
        <x:f>IFERROR(INDEX($N$6:$N$205,MATCH(A186,$L$6:$L$205,0)),"")</x:f>
      </x:c>
    </x:row>
    <x:row r="187">
      <x:c r="A187" s="982"/>
      <x:c r="B187" s="982"/>
      <x:c r="C187" s="982"/>
      <x:c r="D187" s="982"/>
      <x:c r="E187" s="997"/>
      <x:c r="F187" s="997"/>
      <x:c r="G187" s="1002" t="str">
        <x:f>IF(OR(B187="",D187="",IF(C187="",K187,C187)=""),"",B187*IF(C187="",K187,C187)*D187*F187)</x:f>
      </x:c>
      <x:c r="H187" s="1002" t="str">
        <x:f>IF(OR(B187="",IF(C187="",K187,C187)=""),"",B187*IF(C187="",K187,C187))</x:f>
      </x:c>
      <x:c r="I187" s="982"/>
      <x:c r="J187" s="982"/>
      <x:c r="K187" s="990" t="str">
        <x:f>IFERROR(INDEX($N$6:$N$205,MATCH(A187,$L$6:$L$205,0)),"")</x:f>
      </x:c>
    </x:row>
    <x:row r="188">
      <x:c r="A188" s="982"/>
      <x:c r="B188" s="982"/>
      <x:c r="C188" s="982"/>
      <x:c r="D188" s="982"/>
      <x:c r="E188" s="997"/>
      <x:c r="F188" s="997"/>
      <x:c r="G188" s="1002" t="str">
        <x:f>IF(OR(B188="",D188="",IF(C188="",K188,C188)=""),"",B188*IF(C188="",K188,C188)*D188*F188)</x:f>
      </x:c>
      <x:c r="H188" s="1002" t="str">
        <x:f>IF(OR(B188="",IF(C188="",K188,C188)=""),"",B188*IF(C188="",K188,C188))</x:f>
      </x:c>
      <x:c r="I188" s="982"/>
      <x:c r="J188" s="982"/>
      <x:c r="K188" s="990" t="str">
        <x:f>IFERROR(INDEX($N$6:$N$205,MATCH(A188,$L$6:$L$205,0)),"")</x:f>
      </x:c>
    </x:row>
    <x:row r="189">
      <x:c r="A189" s="982"/>
      <x:c r="B189" s="982"/>
      <x:c r="C189" s="982"/>
      <x:c r="D189" s="982"/>
      <x:c r="E189" s="997"/>
      <x:c r="F189" s="997"/>
      <x:c r="G189" s="1002" t="str">
        <x:f>IF(OR(B189="",D189="",IF(C189="",K189,C189)=""),"",B189*IF(C189="",K189,C189)*D189*F189)</x:f>
      </x:c>
      <x:c r="H189" s="1002" t="str">
        <x:f>IF(OR(B189="",IF(C189="",K189,C189)=""),"",B189*IF(C189="",K189,C189))</x:f>
      </x:c>
      <x:c r="I189" s="982"/>
      <x:c r="J189" s="982"/>
      <x:c r="K189" s="990" t="str">
        <x:f>IFERROR(INDEX($N$6:$N$205,MATCH(A189,$L$6:$L$205,0)),"")</x:f>
      </x:c>
    </x:row>
    <x:row r="190">
      <x:c r="A190" s="982"/>
      <x:c r="B190" s="982"/>
      <x:c r="C190" s="982"/>
      <x:c r="D190" s="982"/>
      <x:c r="E190" s="997"/>
      <x:c r="F190" s="997"/>
      <x:c r="G190" s="1002" t="str">
        <x:f>IF(OR(B190="",D190="",IF(C190="",K190,C190)=""),"",B190*IF(C190="",K190,C190)*D190*F190)</x:f>
      </x:c>
      <x:c r="H190" s="1002" t="str">
        <x:f>IF(OR(B190="",IF(C190="",K190,C190)=""),"",B190*IF(C190="",K190,C190))</x:f>
      </x:c>
      <x:c r="I190" s="982"/>
      <x:c r="J190" s="982"/>
      <x:c r="K190" s="990" t="str">
        <x:f>IFERROR(INDEX($N$6:$N$205,MATCH(A190,$L$6:$L$205,0)),"")</x:f>
      </x:c>
    </x:row>
    <x:row r="191">
      <x:c r="A191" s="982"/>
      <x:c r="B191" s="982"/>
      <x:c r="C191" s="982"/>
      <x:c r="D191" s="982"/>
      <x:c r="E191" s="997"/>
      <x:c r="F191" s="997"/>
      <x:c r="G191" s="1002" t="str">
        <x:f>IF(OR(B191="",D191="",IF(C191="",K191,C191)=""),"",B191*IF(C191="",K191,C191)*D191*F191)</x:f>
      </x:c>
      <x:c r="H191" s="1002" t="str">
        <x:f>IF(OR(B191="",IF(C191="",K191,C191)=""),"",B191*IF(C191="",K191,C191))</x:f>
      </x:c>
      <x:c r="I191" s="982"/>
      <x:c r="J191" s="982"/>
      <x:c r="K191" s="990" t="str">
        <x:f>IFERROR(INDEX($N$6:$N$205,MATCH(A191,$L$6:$L$205,0)),"")</x:f>
      </x:c>
    </x:row>
    <x:row r="192">
      <x:c r="A192" s="982"/>
      <x:c r="B192" s="982"/>
      <x:c r="C192" s="982"/>
      <x:c r="D192" s="982"/>
      <x:c r="E192" s="997"/>
      <x:c r="F192" s="997"/>
      <x:c r="G192" s="1002" t="str">
        <x:f>IF(OR(B192="",D192="",IF(C192="",K192,C192)=""),"",B192*IF(C192="",K192,C192)*D192*F192)</x:f>
      </x:c>
      <x:c r="H192" s="1002" t="str">
        <x:f>IF(OR(B192="",IF(C192="",K192,C192)=""),"",B192*IF(C192="",K192,C192))</x:f>
      </x:c>
      <x:c r="I192" s="982"/>
      <x:c r="J192" s="982"/>
      <x:c r="K192" s="990" t="str">
        <x:f>IFERROR(INDEX($N$6:$N$205,MATCH(A192,$L$6:$L$205,0)),"")</x:f>
      </x:c>
    </x:row>
    <x:row r="193">
      <x:c r="A193" s="982"/>
      <x:c r="B193" s="982"/>
      <x:c r="C193" s="982"/>
      <x:c r="D193" s="982"/>
      <x:c r="E193" s="997"/>
      <x:c r="F193" s="997"/>
      <x:c r="G193" s="1002" t="str">
        <x:f>IF(OR(B193="",D193="",IF(C193="",K193,C193)=""),"",B193*IF(C193="",K193,C193)*D193*F193)</x:f>
      </x:c>
      <x:c r="H193" s="1002" t="str">
        <x:f>IF(OR(B193="",IF(C193="",K193,C193)=""),"",B193*IF(C193="",K193,C193))</x:f>
      </x:c>
      <x:c r="I193" s="982"/>
      <x:c r="J193" s="982"/>
      <x:c r="K193" s="990" t="str">
        <x:f>IFERROR(INDEX($N$6:$N$205,MATCH(A193,$L$6:$L$205,0)),"")</x:f>
      </x:c>
    </x:row>
    <x:row r="194">
      <x:c r="A194" s="982"/>
      <x:c r="B194" s="982"/>
      <x:c r="C194" s="982"/>
      <x:c r="D194" s="982"/>
      <x:c r="E194" s="997"/>
      <x:c r="F194" s="997"/>
      <x:c r="G194" s="1002" t="str">
        <x:f>IF(OR(B194="",D194="",IF(C194="",K194,C194)=""),"",B194*IF(C194="",K194,C194)*D194*F194)</x:f>
      </x:c>
      <x:c r="H194" s="1002" t="str">
        <x:f>IF(OR(B194="",IF(C194="",K194,C194)=""),"",B194*IF(C194="",K194,C194))</x:f>
      </x:c>
      <x:c r="I194" s="982"/>
      <x:c r="J194" s="982"/>
      <x:c r="K194" s="990" t="str">
        <x:f>IFERROR(INDEX($N$6:$N$205,MATCH(A194,$L$6:$L$205,0)),"")</x:f>
      </x:c>
    </x:row>
    <x:row r="195">
      <x:c r="A195" s="982"/>
      <x:c r="B195" s="982"/>
      <x:c r="C195" s="982"/>
      <x:c r="D195" s="982"/>
      <x:c r="E195" s="997"/>
      <x:c r="F195" s="997"/>
      <x:c r="G195" s="1002" t="str">
        <x:f>IF(OR(B195="",D195="",IF(C195="",K195,C195)=""),"",B195*IF(C195="",K195,C195)*D195*F195)</x:f>
      </x:c>
      <x:c r="H195" s="1002" t="str">
        <x:f>IF(OR(B195="",IF(C195="",K195,C195)=""),"",B195*IF(C195="",K195,C195))</x:f>
      </x:c>
      <x:c r="I195" s="982"/>
      <x:c r="J195" s="982"/>
      <x:c r="K195" s="990" t="str">
        <x:f>IFERROR(INDEX($N$6:$N$205,MATCH(A195,$L$6:$L$205,0)),"")</x:f>
      </x:c>
    </x:row>
    <x:row r="196">
      <x:c r="A196" s="982"/>
      <x:c r="B196" s="982"/>
      <x:c r="C196" s="982"/>
      <x:c r="D196" s="982"/>
      <x:c r="E196" s="997"/>
      <x:c r="F196" s="997"/>
      <x:c r="G196" s="1002" t="str">
        <x:f>IF(OR(B196="",D196="",IF(C196="",K196,C196)=""),"",B196*IF(C196="",K196,C196)*D196*F196)</x:f>
      </x:c>
      <x:c r="H196" s="1002" t="str">
        <x:f>IF(OR(B196="",IF(C196="",K196,C196)=""),"",B196*IF(C196="",K196,C196))</x:f>
      </x:c>
      <x:c r="I196" s="982"/>
      <x:c r="J196" s="982"/>
      <x:c r="K196" s="990" t="str">
        <x:f>IFERROR(INDEX($N$6:$N$205,MATCH(A196,$L$6:$L$205,0)),"")</x:f>
      </x:c>
    </x:row>
    <x:row r="197">
      <x:c r="A197" s="982"/>
      <x:c r="B197" s="982"/>
      <x:c r="C197" s="982"/>
      <x:c r="D197" s="982"/>
      <x:c r="E197" s="997"/>
      <x:c r="F197" s="997"/>
      <x:c r="G197" s="1002" t="str">
        <x:f>IF(OR(B197="",D197="",IF(C197="",K197,C197)=""),"",B197*IF(C197="",K197,C197)*D197*F197)</x:f>
      </x:c>
      <x:c r="H197" s="1002" t="str">
        <x:f>IF(OR(B197="",IF(C197="",K197,C197)=""),"",B197*IF(C197="",K197,C197))</x:f>
      </x:c>
      <x:c r="I197" s="982"/>
      <x:c r="J197" s="982"/>
      <x:c r="K197" s="990" t="str">
        <x:f>IFERROR(INDEX($N$6:$N$205,MATCH(A197,$L$6:$L$205,0)),"")</x:f>
      </x:c>
    </x:row>
    <x:row r="198">
      <x:c r="A198" s="982"/>
      <x:c r="B198" s="982"/>
      <x:c r="C198" s="982"/>
      <x:c r="D198" s="982"/>
      <x:c r="E198" s="997"/>
      <x:c r="F198" s="997"/>
      <x:c r="G198" s="1002" t="str">
        <x:f>IF(OR(B198="",D198="",IF(C198="",K198,C198)=""),"",B198*IF(C198="",K198,C198)*D198*F198)</x:f>
      </x:c>
      <x:c r="H198" s="1002" t="str">
        <x:f>IF(OR(B198="",IF(C198="",K198,C198)=""),"",B198*IF(C198="",K198,C198))</x:f>
      </x:c>
      <x:c r="I198" s="982"/>
      <x:c r="J198" s="982"/>
      <x:c r="K198" s="990" t="str">
        <x:f>IFERROR(INDEX($N$6:$N$205,MATCH(A198,$L$6:$L$205,0)),"")</x:f>
      </x:c>
    </x:row>
    <x:row r="199">
      <x:c r="A199" s="982"/>
      <x:c r="B199" s="982"/>
      <x:c r="C199" s="982"/>
      <x:c r="D199" s="982"/>
      <x:c r="E199" s="997"/>
      <x:c r="F199" s="997"/>
      <x:c r="G199" s="1002" t="str">
        <x:f>IF(OR(B199="",D199="",IF(C199="",K199,C199)=""),"",B199*IF(C199="",K199,C199)*D199*F199)</x:f>
      </x:c>
      <x:c r="H199" s="1002" t="str">
        <x:f>IF(OR(B199="",IF(C199="",K199,C199)=""),"",B199*IF(C199="",K199,C199))</x:f>
      </x:c>
      <x:c r="I199" s="982"/>
      <x:c r="J199" s="982"/>
      <x:c r="K199" s="990" t="str">
        <x:f>IFERROR(INDEX($N$6:$N$205,MATCH(A199,$L$6:$L$205,0)),"")</x:f>
      </x:c>
    </x:row>
    <x:row r="200">
      <x:c r="A200" s="982"/>
      <x:c r="B200" s="982"/>
      <x:c r="C200" s="982"/>
      <x:c r="D200" s="982"/>
      <x:c r="E200" s="997"/>
      <x:c r="F200" s="997"/>
      <x:c r="G200" s="1002" t="str">
        <x:f>IF(OR(B200="",D200="",IF(C200="",K200,C200)=""),"",B200*IF(C200="",K200,C200)*D200*F200)</x:f>
      </x:c>
      <x:c r="H200" s="1002" t="str">
        <x:f>IF(OR(B200="",IF(C200="",K200,C200)=""),"",B200*IF(C200="",K200,C200))</x:f>
      </x:c>
      <x:c r="I200" s="982"/>
      <x:c r="J200" s="982"/>
      <x:c r="K200" s="990" t="str">
        <x:f>IFERROR(INDEX($N$6:$N$205,MATCH(A200,$L$6:$L$205,0)),"")</x:f>
      </x:c>
    </x:row>
    <x:row r="201">
      <x:c r="A201" s="982"/>
      <x:c r="B201" s="982"/>
      <x:c r="C201" s="982"/>
      <x:c r="D201" s="982"/>
      <x:c r="E201" s="997"/>
      <x:c r="F201" s="997"/>
      <x:c r="G201" s="1002" t="str">
        <x:f>IF(OR(B201="",D201="",IF(C201="",K201,C201)=""),"",B201*IF(C201="",K201,C201)*D201*F201)</x:f>
      </x:c>
      <x:c r="H201" s="1002" t="str">
        <x:f>IF(OR(B201="",IF(C201="",K201,C201)=""),"",B201*IF(C201="",K201,C201))</x:f>
      </x:c>
      <x:c r="I201" s="982"/>
      <x:c r="J201" s="982"/>
      <x:c r="K201" s="990" t="str">
        <x:f>IFERROR(INDEX($N$6:$N$205,MATCH(A201,$L$6:$L$205,0)),"")</x:f>
      </x:c>
    </x:row>
    <x:row r="202">
      <x:c r="A202" s="982"/>
      <x:c r="B202" s="982"/>
      <x:c r="C202" s="982"/>
      <x:c r="D202" s="982"/>
      <x:c r="E202" s="997"/>
      <x:c r="F202" s="997"/>
      <x:c r="G202" s="1002" t="str">
        <x:f>IF(OR(B202="",D202="",IF(C202="",K202,C202)=""),"",B202*IF(C202="",K202,C202)*D202*F202)</x:f>
      </x:c>
      <x:c r="H202" s="1002" t="str">
        <x:f>IF(OR(B202="",IF(C202="",K202,C202)=""),"",B202*IF(C202="",K202,C202))</x:f>
      </x:c>
      <x:c r="I202" s="982"/>
      <x:c r="J202" s="982"/>
      <x:c r="K202" s="990" t="str">
        <x:f>IFERROR(INDEX($N$6:$N$205,MATCH(A202,$L$6:$L$205,0)),"")</x:f>
      </x:c>
    </x:row>
    <x:row r="203">
      <x:c r="A203" s="982"/>
      <x:c r="B203" s="982"/>
      <x:c r="C203" s="982"/>
      <x:c r="D203" s="982"/>
      <x:c r="E203" s="997"/>
      <x:c r="F203" s="997"/>
      <x:c r="G203" s="1002" t="str">
        <x:f>IF(OR(B203="",D203="",IF(C203="",K203,C203)=""),"",B203*IF(C203="",K203,C203)*D203*F203)</x:f>
      </x:c>
      <x:c r="H203" s="1002" t="str">
        <x:f>IF(OR(B203="",IF(C203="",K203,C203)=""),"",B203*IF(C203="",K203,C203))</x:f>
      </x:c>
      <x:c r="I203" s="982"/>
      <x:c r="J203" s="982"/>
      <x:c r="K203" s="990" t="str">
        <x:f>IFERROR(INDEX($N$6:$N$205,MATCH(A203,$L$6:$L$205,0)),"")</x:f>
      </x:c>
    </x:row>
    <x:row r="204">
      <x:c r="A204" s="982"/>
      <x:c r="B204" s="982"/>
      <x:c r="C204" s="982"/>
      <x:c r="D204" s="982"/>
      <x:c r="E204" s="997"/>
      <x:c r="F204" s="997"/>
      <x:c r="G204" s="1002" t="str">
        <x:f>IF(OR(B204="",D204="",IF(C204="",K204,C204)=""),"",B204*IF(C204="",K204,C204)*D204*F204)</x:f>
      </x:c>
      <x:c r="H204" s="1002" t="str">
        <x:f>IF(OR(B204="",IF(C204="",K204,C204)=""),"",B204*IF(C204="",K204,C204))</x:f>
      </x:c>
      <x:c r="I204" s="982"/>
      <x:c r="J204" s="982"/>
      <x:c r="K204" s="990" t="str">
        <x:f>IFERROR(INDEX($N$6:$N$205,MATCH(A204,$L$6:$L$205,0)),"")</x:f>
      </x:c>
    </x:row>
    <x:row r="205">
      <x:c r="A205" s="982"/>
      <x:c r="B205" s="982"/>
      <x:c r="C205" s="982"/>
      <x:c r="D205" s="982"/>
      <x:c r="E205" s="997"/>
      <x:c r="F205" s="997"/>
      <x:c r="G205" s="1002" t="str">
        <x:f>IF(OR(B205="",D205="",IF(C205="",K205,C205)=""),"",B205*IF(C205="",K205,C205)*D205*F205)</x:f>
      </x:c>
      <x:c r="H205" s="1002" t="str">
        <x:f>IF(OR(B205="",IF(C205="",K205,C205)=""),"",B205*IF(C205="",K205,C205))</x:f>
      </x:c>
      <x:c r="I205" s="982"/>
      <x:c r="J205" s="982"/>
      <x:c r="K205" s="990" t="str">
        <x:f>IFERROR(INDEX($N$6:$N$205,MATCH(A205,$L$6:$L$205,0)),"")</x:f>
      </x:c>
    </x:row>
  </x:sheetData>
  <x:mergeCells>
    <x:mergeCell ref="A1:J2"/>
    <x:mergeCell ref="A3:J3"/>
    <x:mergeCell ref="A29:J31"/>
  </x:mergeCells>
  <x:dataValidations count="1">
    <x:dataValidation type="list" sqref="A6:A205">
      <x:formula1>$L$6:$L$205</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s>
  <x:sheetData>
    <x:row r="1">
      <x:c r="A1" s="1139" t="str">
        <x:v>RESSOURCE SOLAIRE DU SITE</x:v>
      </x:c>
      <x:c r="B1" s="1139"/>
      <x:c r="C1" s="1139"/>
      <x:c r="D1" s="1139"/>
      <x:c r="E1" s="1139"/>
    </x:row>
    <x:row r="2">
      <x:c r="A2" s="4"/>
      <x:c r="B2" s="4"/>
      <x:c r="C2" s="4"/>
      <x:c r="D2" s="4"/>
      <x:c r="E2" s="4"/>
    </x:row>
    <x:row r="3">
      <x:c r="A3" s="31" t="str">
        <x:v>Entrer l’irradiation journalière moyenne sur le plan des modules (kWh/m²/j) pour chaque mois et la température minimale de site si disponible.</x:v>
      </x:c>
      <x:c r="B3" s="31"/>
      <x:c r="C3" s="31"/>
      <x:c r="D3" s="31"/>
      <x:c r="E3" s="31"/>
    </x:row>
    <x:row r="4">
      <x:c r="A4" s="1"/>
      <x:c r="B4" s="1"/>
      <x:c r="C4" s="1"/>
      <x:c r="D4" s="1"/>
      <x:c r="E4" s="1"/>
    </x:row>
    <x:row r="5" ht="32" customHeight="1">
      <x:c r="A5" s="35" t="str">
        <x:v>Mois</x:v>
      </x:c>
      <x:c r="B5" s="35" t="str">
        <x:v>Jours</x:v>
      </x:c>
      <x:c r="C5" s="35" t="str">
        <x:v>Irradiation plan modules (kWh/m²/j)</x:v>
      </x:c>
      <x:c r="D5" s="35" t="str">
        <x:v>Temp. min (°C)</x:v>
      </x:c>
      <x:c r="E5" s="35" t="str">
        <x:v>Production estimée (kWh)</x:v>
      </x:c>
    </x:row>
    <x:row r="6">
      <x:c r="A6" s="1" t="str">
        <x:v>Janvier</x:v>
      </x:c>
      <x:c r="B6" s="1" t="n">
        <x:v>31</x:v>
      </x:c>
      <x:c r="C6" s="44"/>
      <x:c r="D6" s="37"/>
      <x:c r="E6" s="40" t="str">
        <x:f>IF(OR(C6="",'Calculs'!B12=""),"",C6*B6*'Calculs'!B11*'Calculs'!B12*'Projet'!B18/1000)</x:f>
      </x:c>
    </x:row>
    <x:row r="7">
      <x:c r="A7" s="1" t="str">
        <x:v>Février</x:v>
      </x:c>
      <x:c r="B7" s="1" t="n">
        <x:v>28</x:v>
      </x:c>
      <x:c r="C7" s="44"/>
      <x:c r="D7" s="37"/>
      <x:c r="E7" s="40" t="str">
        <x:f>IF(OR(C7="",'Calculs'!B12=""),"",C7*B7*'Calculs'!B11*'Calculs'!B12*'Projet'!B18/1000)</x:f>
      </x:c>
    </x:row>
    <x:row r="8">
      <x:c r="A8" s="1" t="str">
        <x:v>Mars</x:v>
      </x:c>
      <x:c r="B8" s="1" t="n">
        <x:v>31</x:v>
      </x:c>
      <x:c r="C8" s="44"/>
      <x:c r="D8" s="37"/>
      <x:c r="E8" s="40" t="str">
        <x:f>IF(OR(C8="",'Calculs'!B12=""),"",C8*B8*'Calculs'!B11*'Calculs'!B12*'Projet'!B18/1000)</x:f>
      </x:c>
    </x:row>
    <x:row r="9">
      <x:c r="A9" s="1" t="str">
        <x:v>Avril</x:v>
      </x:c>
      <x:c r="B9" s="1" t="n">
        <x:v>30</x:v>
      </x:c>
      <x:c r="C9" s="44"/>
      <x:c r="D9" s="37"/>
      <x:c r="E9" s="40" t="str">
        <x:f>IF(OR(C9="",'Calculs'!B12=""),"",C9*B9*'Calculs'!B11*'Calculs'!B12*'Projet'!B18/1000)</x:f>
      </x:c>
    </x:row>
    <x:row r="10">
      <x:c r="A10" s="1" t="str">
        <x:v>Mai</x:v>
      </x:c>
      <x:c r="B10" s="1" t="n">
        <x:v>31</x:v>
      </x:c>
      <x:c r="C10" s="44"/>
      <x:c r="D10" s="37"/>
      <x:c r="E10" s="40" t="str">
        <x:f>IF(OR(C10="",'Calculs'!B12=""),"",C10*B10*'Calculs'!B11*'Calculs'!B12*'Projet'!B18/1000)</x:f>
      </x:c>
    </x:row>
    <x:row r="11">
      <x:c r="A11" s="1" t="str">
        <x:v>Juin</x:v>
      </x:c>
      <x:c r="B11" s="1" t="n">
        <x:v>30</x:v>
      </x:c>
      <x:c r="C11" s="44"/>
      <x:c r="D11" s="37"/>
      <x:c r="E11" s="40" t="str">
        <x:f>IF(OR(C11="",'Calculs'!B12=""),"",C11*B11*'Calculs'!B11*'Calculs'!B12*'Projet'!B18/1000)</x:f>
      </x:c>
    </x:row>
    <x:row r="12">
      <x:c r="A12" s="1" t="str">
        <x:v>Juillet</x:v>
      </x:c>
      <x:c r="B12" s="1" t="n">
        <x:v>31</x:v>
      </x:c>
      <x:c r="C12" s="44"/>
      <x:c r="D12" s="37"/>
      <x:c r="E12" s="40" t="str">
        <x:f>IF(OR(C12="",'Calculs'!B12=""),"",C12*B12*'Calculs'!B11*'Calculs'!B12*'Projet'!B18/1000)</x:f>
      </x:c>
    </x:row>
    <x:row r="13">
      <x:c r="A13" s="1" t="str">
        <x:v>Août</x:v>
      </x:c>
      <x:c r="B13" s="1" t="n">
        <x:v>31</x:v>
      </x:c>
      <x:c r="C13" s="44"/>
      <x:c r="D13" s="37"/>
      <x:c r="E13" s="40" t="str">
        <x:f>IF(OR(C13="",'Calculs'!B12=""),"",C13*B13*'Calculs'!B11*'Calculs'!B12*'Projet'!B18/1000)</x:f>
      </x:c>
    </x:row>
    <x:row r="14">
      <x:c r="A14" s="1" t="str">
        <x:v>Septembre</x:v>
      </x:c>
      <x:c r="B14" s="1" t="n">
        <x:v>30</x:v>
      </x:c>
      <x:c r="C14" s="44"/>
      <x:c r="D14" s="37"/>
      <x:c r="E14" s="40" t="str">
        <x:f>IF(OR(C14="",'Calculs'!B12=""),"",C14*B14*'Calculs'!B11*'Calculs'!B12*'Projet'!B18/1000)</x:f>
      </x:c>
    </x:row>
    <x:row r="15">
      <x:c r="A15" s="1" t="str">
        <x:v>Octobre</x:v>
      </x:c>
      <x:c r="B15" s="1" t="n">
        <x:v>31</x:v>
      </x:c>
      <x:c r="C15" s="44"/>
      <x:c r="D15" s="37"/>
      <x:c r="E15" s="40" t="str">
        <x:f>IF(OR(C15="",'Calculs'!B12=""),"",C15*B15*'Calculs'!B11*'Calculs'!B12*'Projet'!B18/1000)</x:f>
      </x:c>
    </x:row>
    <x:row r="16">
      <x:c r="A16" s="1" t="str">
        <x:v>Novembre</x:v>
      </x:c>
      <x:c r="B16" s="1" t="n">
        <x:v>30</x:v>
      </x:c>
      <x:c r="C16" s="44"/>
      <x:c r="D16" s="37"/>
      <x:c r="E16" s="40" t="str">
        <x:f>IF(OR(C16="",'Calculs'!B12=""),"",C16*B16*'Calculs'!B11*'Calculs'!B12*'Projet'!B18/1000)</x:f>
      </x:c>
    </x:row>
    <x:row r="17">
      <x:c r="A17" s="1" t="str">
        <x:v>Décembre</x:v>
      </x:c>
      <x:c r="B17" s="1" t="n">
        <x:v>31</x:v>
      </x:c>
      <x:c r="C17" s="44"/>
      <x:c r="D17" s="37"/>
      <x:c r="E17" s="40" t="str">
        <x:f>IF(OR(C17="",'Calculs'!B12=""),"",C17*B17*'Calculs'!B11*'Calculs'!B12*'Projet'!B18/1000)</x:f>
      </x:c>
    </x:row>
    <x:row r="18">
      <x:c r="A18" s="1"/>
      <x:c r="B18" s="1"/>
      <x:c r="C18" s="1"/>
      <x:c r="D18" s="1"/>
      <x:c r="E18" s="1"/>
    </x:row>
    <x:row r="19">
      <x:c r="A19" s="45" t="str">
        <x:v>Source recommandée</x:v>
      </x:c>
      <x:c r="B19" s="1" t="str">
        <x:v>PVGIS - Commission européenne</x:v>
      </x:c>
      <x:c r="C19" s="1"/>
      <x:c r="D19" s="1"/>
      <x:c r="E19" s="1"/>
    </x:row>
    <x:row r="20">
      <x:c r="A20" s="45" t="str">
        <x:v>URL</x:v>
      </x:c>
      <x:c r="B20" s="1" t="str">
        <x:v>https://re.jrc.ec.europa.eu/pvg_tools/en/</x:v>
      </x:c>
      <x:c r="C20" s="1"/>
      <x:c r="D20" s="1"/>
      <x:c r="E20" s="1"/>
    </x:row>
    <x:row r="21">
      <x:c r="A21" s="45" t="str">
        <x:v>À noter</x:v>
      </x:c>
      <x:c r="B21" s="18" t="str">
        <x:v>Choisir coordonnées, inclinaison/orientation et exporter les moyennes mensuelles; reporter les données et consigner la configuration.</x:v>
      </x:c>
      <x:c r="C21" s="1"/>
      <x:c r="D21" s="1"/>
      <x:c r="E21" s="1"/>
    </x:row>
    <x:row r="22">
      <x:c r="A22" s="1"/>
      <x:c r="B22" s="1"/>
      <x:c r="C22" s="1"/>
      <x:c r="D22" s="1"/>
      <x:c r="E22" s="1"/>
    </x:row>
    <x:row r="23">
      <x:c r="A23" s="1"/>
      <x:c r="B23" s="1"/>
      <x:c r="C23" s="1"/>
      <x:c r="D23" s="1"/>
      <x:c r="E23" s="1"/>
    </x:row>
    <x:row r="24">
      <x:c r="A24" s="15" t="str">
        <x:v>Aucune série climatique n’est préremplie afin d’éviter de présenter une valeur régionale comme une mesure du site. Les résultats de production restent vides tant que les 12 mois ne sont pas saisis.</x:v>
      </x:c>
      <x:c r="B24" s="15"/>
      <x:c r="C24" s="15"/>
      <x:c r="D24" s="15"/>
      <x:c r="E24" s="15"/>
    </x:row>
    <x:row r="25">
      <x:c r="A25" s="15"/>
      <x:c r="B25" s="15"/>
      <x:c r="C25" s="15"/>
      <x:c r="D25" s="15"/>
      <x:c r="E25" s="15"/>
    </x:row>
    <x:row r="26">
      <x:c r="A26" s="48"/>
      <x:c r="B26" s="48"/>
      <x:c r="C26" s="48"/>
      <x:c r="D26" s="48"/>
      <x:c r="E26" s="48"/>
    </x:row>
  </x:sheetData>
  <x:mergeCells>
    <x:mergeCell ref="A1:E2"/>
    <x:mergeCell ref="A3:E3"/>
    <x:mergeCell ref="B21:E22"/>
    <x:mergeCell ref="A24:E26"/>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4" hidden="0" customWidth="1"/>
  </x:cols>
  <x:sheetData>
    <x:row r="1">
      <x:c r="A1" s="4" t="str">
        <x:v>CATALOGUE PHOTOVOLTAÏQUE</x:v>
      </x:c>
      <x:c r="B1" s="4"/>
      <x:c r="C1" s="4"/>
      <x:c r="D1" s="4"/>
      <x:c r="E1" s="4"/>
      <x:c r="F1" s="4"/>
      <x:c r="G1" s="4"/>
      <x:c r="H1" s="4"/>
      <x:c r="I1" s="4"/>
      <x:c r="J1" s="4"/>
      <x:c r="K1" s="4"/>
      <x:c r="L1" s="4"/>
    </x:row>
    <x:row r="2">
      <x:c r="A2" s="4"/>
      <x:c r="B2" s="4"/>
      <x:c r="C2" s="4"/>
      <x:c r="D2" s="4"/>
      <x:c r="E2" s="4"/>
      <x:c r="F2" s="4"/>
      <x:c r="G2" s="4"/>
      <x:c r="H2" s="4"/>
      <x:c r="I2" s="4"/>
      <x:c r="J2" s="4"/>
      <x:c r="K2" s="4"/>
      <x:c r="L2" s="4"/>
    </x:row>
    <x:row r="3">
      <x:c r="A3" s="1"/>
      <x:c r="B3" s="1"/>
      <x:c r="C3" s="1"/>
      <x:c r="D3" s="1"/>
      <x:c r="E3" s="1"/>
      <x:c r="F3" s="1"/>
      <x:c r="G3" s="1"/>
      <x:c r="H3" s="1"/>
      <x:c r="I3" s="1"/>
      <x:c r="J3" s="1"/>
      <x:c r="K3" s="1"/>
      <x:c r="L3" s="1"/>
    </x:row>
    <x:row r="4">
      <x:c r="A4" s="1020" t="str">
        <x:v>47 références renseignées | Fiches techniques fabricant liées en colonne L. Ajoutez les nouvelles lignes après le dernier SKU; seules les fiches avec champs électriques complets sont utilisées dans les calculs.</x:v>
      </x:c>
      <x:c r="B4" s="1020"/>
      <x:c r="C4" s="1020"/>
      <x:c r="D4" s="1020"/>
      <x:c r="E4" s="1020"/>
      <x:c r="F4" s="1020"/>
      <x:c r="G4" s="1020"/>
      <x:c r="H4" s="1020"/>
      <x:c r="I4" s="1020"/>
      <x:c r="J4" s="1020"/>
      <x:c r="K4" s="1020"/>
      <x:c r="L4" s="1020"/>
    </x:row>
    <x:row r="5" ht="32" customHeight="1">
      <x:c r="A5" s="1025" t="str">
        <x:v>SKU</x:v>
      </x:c>
      <x:c r="B5" s="1025" t="str">
        <x:v>Fabricant / modèle</x:v>
      </x:c>
      <x:c r="C5" s="1025" t="str">
        <x:v>Pnom (W)</x:v>
      </x:c>
      <x:c r="D5" s="1025" t="str">
        <x:v>Vmp (V)</x:v>
      </x:c>
      <x:c r="E5" s="1025" t="str">
        <x:v>Imp (A)</x:v>
      </x:c>
      <x:c r="F5" s="1025" t="str">
        <x:v>Voc STC (V)</x:v>
      </x:c>
      <x:c r="G5" s="1025" t="str">
        <x:v>Isc (A)</x:v>
      </x:c>
      <x:c r="H5" s="1025" t="str">
        <x:v>βVoc (%/°C)</x:v>
      </x:c>
      <x:c r="I5" s="1025" t="str">
        <x:v>γPmp (%/°C)</x:v>
      </x:c>
      <x:c r="J5" s="1025" t="str">
        <x:v>Fusible série max (A)</x:v>
      </x:c>
      <x:c r="K5" s="1025" t="str">
        <x:v>V système max (V)</x:v>
      </x:c>
      <x:c r="L5" s="1025" t="str">
        <x:v>Source fabricant</x:v>
      </x:c>
    </x:row>
    <x:row r="6" ht="34" customHeight="1">
      <x:c r="A6" s="1010" t="str">
        <x:v>JKM575N-72HL4-BDV</x:v>
      </x:c>
      <x:c r="B6" s="1010" t="str">
        <x:v>Jinko Tiger Neo 575 W</x:v>
      </x:c>
      <x:c r="C6" s="1011" t="n">
        <x:v>575</x:v>
      </x:c>
      <x:c r="D6" s="1012" t="n">
        <x:v>43.73</x:v>
      </x:c>
      <x:c r="E6" s="1012" t="n">
        <x:v>13.15</x:v>
      </x:c>
      <x:c r="F6" s="1012" t="n">
        <x:v>52.3</x:v>
      </x:c>
      <x:c r="G6" s="1012" t="n">
        <x:v>13.89</x:v>
      </x:c>
      <x:c r="H6" s="1012" t="n">
        <x:v>-0.25</x:v>
      </x:c>
      <x:c r="I6" s="1012" t="n">
        <x:v>-0.29</x:v>
      </x:c>
      <x:c r="J6" s="1012" t="n">
        <x:v>30</x:v>
      </x:c>
      <x:c r="K6" s="1012" t="n">
        <x:v>1500</x:v>
      </x:c>
      <x:c r="L6" s="1010" t="str">
        <x:v>https://jinkosolar.eu/wp-content/uploads/2024/10/JKM575-600N-72HL4-BDV-F9-EU.pdf</x:v>
      </x:c>
    </x:row>
    <x:row r="7" ht="34" customHeight="1">
      <x:c r="A7" s="1021" t="str">
        <x:v>JKM580-72HL4-BDV</x:v>
      </x:c>
      <x:c r="B7" s="1021" t="str">
        <x:v>Jinko Tiger Neo 580 W</x:v>
      </x:c>
      <x:c r="C7" s="1022" t="n">
        <x:v>580</x:v>
      </x:c>
      <x:c r="D7" s="1023" t="n">
        <x:v>43.88</x:v>
      </x:c>
      <x:c r="E7" s="1023" t="n">
        <x:v>13.22</x:v>
      </x:c>
      <x:c r="F7" s="1023" t="n">
        <x:v>52.5</x:v>
      </x:c>
      <x:c r="G7" s="1023" t="n">
        <x:v>13.95</x:v>
      </x:c>
      <x:c r="H7" s="1023" t="n">
        <x:v>-0.25</x:v>
      </x:c>
      <x:c r="I7" s="1023" t="n">
        <x:v>-0.29</x:v>
      </x:c>
      <x:c r="J7" s="1023" t="n">
        <x:v>30</x:v>
      </x:c>
      <x:c r="K7" s="1023" t="n">
        <x:v>1500</x:v>
      </x:c>
      <x:c r="L7" s="1021" t="str">
        <x:v>https://jinkosolar.eu/wp-content/uploads/2024/10/JKM575-600N-72HL4-BDV-F9-EU.pdf</x:v>
      </x:c>
    </x:row>
    <x:row r="8" ht="34" customHeight="1">
      <x:c r="A8" s="1010" t="str">
        <x:v>JKM585N-72HL4-BDV</x:v>
      </x:c>
      <x:c r="B8" s="1010" t="str">
        <x:v>Jinko Tiger Neo 585 W</x:v>
      </x:c>
      <x:c r="C8" s="1011" t="n">
        <x:v>585</x:v>
      </x:c>
      <x:c r="D8" s="1012" t="n">
        <x:v>44.02</x:v>
      </x:c>
      <x:c r="E8" s="1012" t="n">
        <x:v>13.29</x:v>
      </x:c>
      <x:c r="F8" s="1012" t="n">
        <x:v>52.7</x:v>
      </x:c>
      <x:c r="G8" s="1012" t="n">
        <x:v>14.01</x:v>
      </x:c>
      <x:c r="H8" s="1012" t="n">
        <x:v>-0.25</x:v>
      </x:c>
      <x:c r="I8" s="1012" t="n">
        <x:v>-0.29</x:v>
      </x:c>
      <x:c r="J8" s="1012" t="n">
        <x:v>30</x:v>
      </x:c>
      <x:c r="K8" s="1012" t="n">
        <x:v>1500</x:v>
      </x:c>
      <x:c r="L8" s="1010" t="str">
        <x:v>https://jinkosolar.eu/wp-content/uploads/2024/10/JKM575-600N-72HL4-BDV-F9-EU.pdf</x:v>
      </x:c>
    </x:row>
    <x:row r="9" ht="34" customHeight="1">
      <x:c r="A9" s="1021" t="str">
        <x:v>JKM590N-72HL4-BDV</x:v>
      </x:c>
      <x:c r="B9" s="1021" t="str">
        <x:v>Jinko Tiger Neo 590 W</x:v>
      </x:c>
      <x:c r="C9" s="1022" t="n">
        <x:v>590</x:v>
      </x:c>
      <x:c r="D9" s="1023" t="n">
        <x:v>44.17</x:v>
      </x:c>
      <x:c r="E9" s="1023" t="n">
        <x:v>13.36</x:v>
      </x:c>
      <x:c r="F9" s="1023" t="n">
        <x:v>52.9</x:v>
      </x:c>
      <x:c r="G9" s="1023" t="n">
        <x:v>14.07</x:v>
      </x:c>
      <x:c r="H9" s="1023" t="n">
        <x:v>-0.25</x:v>
      </x:c>
      <x:c r="I9" s="1023" t="n">
        <x:v>-0.29</x:v>
      </x:c>
      <x:c r="J9" s="1023" t="n">
        <x:v>30</x:v>
      </x:c>
      <x:c r="K9" s="1023" t="n">
        <x:v>1500</x:v>
      </x:c>
      <x:c r="L9" s="1021" t="str">
        <x:v>https://jinkosolar.eu/wp-content/uploads/2024/10/JKM575-600N-72HL4-BDV-F9-EU.pdf</x:v>
      </x:c>
    </x:row>
    <x:row r="10" ht="34" customHeight="1">
      <x:c r="A10" s="1010" t="str">
        <x:v>JKM595N-72HL4-BDV</x:v>
      </x:c>
      <x:c r="B10" s="1010" t="str">
        <x:v>Jinko Tiger Neo 595 W</x:v>
      </x:c>
      <x:c r="C10" s="1011" t="n">
        <x:v>595</x:v>
      </x:c>
      <x:c r="D10" s="1012" t="n">
        <x:v>44.31</x:v>
      </x:c>
      <x:c r="E10" s="1012" t="n">
        <x:v>13.43</x:v>
      </x:c>
      <x:c r="F10" s="1012" t="n">
        <x:v>53.1</x:v>
      </x:c>
      <x:c r="G10" s="1012" t="n">
        <x:v>14.13</x:v>
      </x:c>
      <x:c r="H10" s="1012" t="n">
        <x:v>-0.25</x:v>
      </x:c>
      <x:c r="I10" s="1012" t="n">
        <x:v>-0.29</x:v>
      </x:c>
      <x:c r="J10" s="1012" t="n">
        <x:v>30</x:v>
      </x:c>
      <x:c r="K10" s="1012" t="n">
        <x:v>1500</x:v>
      </x:c>
      <x:c r="L10" s="1010" t="str">
        <x:v>https://jinkosolar.eu/wp-content/uploads/2024/10/JKM575-600N-72HL4-BDV-F9-EU.pdf</x:v>
      </x:c>
    </x:row>
    <x:row r="11" ht="34" customHeight="1">
      <x:c r="A11" s="1021" t="str">
        <x:v>JKM600N-72HL4-BDV</x:v>
      </x:c>
      <x:c r="B11" s="1021" t="str">
        <x:v>Jinko Tiger Neo 600 W</x:v>
      </x:c>
      <x:c r="C11" s="1022" t="n">
        <x:v>600</x:v>
      </x:c>
      <x:c r="D11" s="1023" t="n">
        <x:v>44.45</x:v>
      </x:c>
      <x:c r="E11" s="1023" t="n">
        <x:v>13.5</x:v>
      </x:c>
      <x:c r="F11" s="1023" t="n">
        <x:v>53.3</x:v>
      </x:c>
      <x:c r="G11" s="1023" t="n">
        <x:v>14.19</x:v>
      </x:c>
      <x:c r="H11" s="1023" t="n">
        <x:v>-0.25</x:v>
      </x:c>
      <x:c r="I11" s="1023" t="n">
        <x:v>-0.29</x:v>
      </x:c>
      <x:c r="J11" s="1023" t="n">
        <x:v>30</x:v>
      </x:c>
      <x:c r="K11" s="1023" t="n">
        <x:v>1500</x:v>
      </x:c>
      <x:c r="L11" s="1021" t="str">
        <x:v>https://jinkosolar.eu/wp-content/uploads/2024/10/JKM575-600N-72HL4-BDV-F9-EU.pdf</x:v>
      </x:c>
    </x:row>
    <x:row r="12" ht="34" customHeight="1">
      <x:c r="A12" s="1010" t="str">
        <x:v>JAM72S30-560-LR</x:v>
      </x:c>
      <x:c r="B12" s="1010" t="str">
        <x:v>JA Solar JAM72S30 560 W</x:v>
      </x:c>
      <x:c r="C12" s="1011" t="n">
        <x:v>560</x:v>
      </x:c>
      <x:c r="D12" s="1012" t="n">
        <x:v>41.49</x:v>
      </x:c>
      <x:c r="E12" s="1012" t="n">
        <x:v>13.5</x:v>
      </x:c>
      <x:c r="F12" s="1012" t="n">
        <x:v>50.32</x:v>
      </x:c>
      <x:c r="G12" s="1012" t="n">
        <x:v>14.25</x:v>
      </x:c>
      <x:c r="H12" s="1012" t="n">
        <x:v>-0.275</x:v>
      </x:c>
      <x:c r="I12" s="1012" t="n">
        <x:v>-0.35</x:v>
      </x:c>
      <x:c r="J12" s="1012" t="n">
        <x:v>25</x:v>
      </x:c>
      <x:c r="K12" s="1012" t="n">
        <x:v>1500</x:v>
      </x:c>
      <x:c r="L12" s="1010" t="str">
        <x:v>https://www.jasolar.com/uploadfile/fujian/2024/0807/2930bc471d5a.pdf</x:v>
      </x:c>
    </x:row>
    <x:row r="13" ht="34" customHeight="1">
      <x:c r="A13" s="1021" t="str">
        <x:v>JAM72S30-565-LR</x:v>
      </x:c>
      <x:c r="B13" s="1021" t="str">
        <x:v>JA Solar JAM72S30 565 W</x:v>
      </x:c>
      <x:c r="C13" s="1022" t="n">
        <x:v>565</x:v>
      </x:c>
      <x:c r="D13" s="1023" t="n">
        <x:v>41.68</x:v>
      </x:c>
      <x:c r="E13" s="1023" t="n">
        <x:v>13.56</x:v>
      </x:c>
      <x:c r="F13" s="1023" t="n">
        <x:v>50.5</x:v>
      </x:c>
      <x:c r="G13" s="1023" t="n">
        <x:v>14.31</x:v>
      </x:c>
      <x:c r="H13" s="1023" t="n">
        <x:v>-0.275</x:v>
      </x:c>
      <x:c r="I13" s="1023" t="n">
        <x:v>-0.35</x:v>
      </x:c>
      <x:c r="J13" s="1023" t="n">
        <x:v>25</x:v>
      </x:c>
      <x:c r="K13" s="1023" t="n">
        <x:v>1500</x:v>
      </x:c>
      <x:c r="L13" s="1021" t="str">
        <x:v>https://www.jasolar.com/uploadfile/fujian/2024/0807/2930bc471d5a.pdf</x:v>
      </x:c>
    </x:row>
    <x:row r="14" ht="34" customHeight="1">
      <x:c r="A14" s="1010" t="str">
        <x:v>JAM72S30-570-LR</x:v>
      </x:c>
      <x:c r="B14" s="1010" t="str">
        <x:v>JA Solar JAM72S30 570 W</x:v>
      </x:c>
      <x:c r="C14" s="1011" t="n">
        <x:v>570</x:v>
      </x:c>
      <x:c r="D14" s="1012" t="n">
        <x:v>41.87</x:v>
      </x:c>
      <x:c r="E14" s="1012" t="n">
        <x:v>13.62</x:v>
      </x:c>
      <x:c r="F14" s="1012" t="n">
        <x:v>50.68</x:v>
      </x:c>
      <x:c r="G14" s="1012" t="n">
        <x:v>14.37</x:v>
      </x:c>
      <x:c r="H14" s="1012" t="n">
        <x:v>-0.275</x:v>
      </x:c>
      <x:c r="I14" s="1012" t="n">
        <x:v>-0.35</x:v>
      </x:c>
      <x:c r="J14" s="1012" t="n">
        <x:v>25</x:v>
      </x:c>
      <x:c r="K14" s="1012" t="n">
        <x:v>1500</x:v>
      </x:c>
      <x:c r="L14" s="1010" t="str">
        <x:v>https://www.jasolar.com/uploadfile/fujian/2024/0807/2930bc471d5a.pdf</x:v>
      </x:c>
    </x:row>
    <x:row r="15" ht="34" customHeight="1">
      <x:c r="A15" s="1021" t="str">
        <x:v>JAM72S30-575-LR</x:v>
      </x:c>
      <x:c r="B15" s="1021" t="str">
        <x:v>JA Solar JAM72S30 575 W</x:v>
      </x:c>
      <x:c r="C15" s="1022" t="n">
        <x:v>575</x:v>
      </x:c>
      <x:c r="D15" s="1023" t="n">
        <x:v>42.05</x:v>
      </x:c>
      <x:c r="E15" s="1023" t="n">
        <x:v>13.67</x:v>
      </x:c>
      <x:c r="F15" s="1023" t="n">
        <x:v>50.86</x:v>
      </x:c>
      <x:c r="G15" s="1023" t="n">
        <x:v>14.44</x:v>
      </x:c>
      <x:c r="H15" s="1023" t="n">
        <x:v>-0.275</x:v>
      </x:c>
      <x:c r="I15" s="1023" t="n">
        <x:v>-0.35</x:v>
      </x:c>
      <x:c r="J15" s="1023" t="n">
        <x:v>25</x:v>
      </x:c>
      <x:c r="K15" s="1023" t="n">
        <x:v>1500</x:v>
      </x:c>
      <x:c r="L15" s="1021" t="str">
        <x:v>https://www.jasolar.com/uploadfile/fujian/2024/0807/2930bc471d5a.pdf</x:v>
      </x:c>
    </x:row>
    <x:row r="16" ht="34" customHeight="1">
      <x:c r="A16" s="1010" t="str">
        <x:v>JAM72S30-580-LR</x:v>
      </x:c>
      <x:c r="B16" s="1010" t="str">
        <x:v>JA Solar JAM72S30 580 W</x:v>
      </x:c>
      <x:c r="C16" s="1011" t="n">
        <x:v>580</x:v>
      </x:c>
      <x:c r="D16" s="1012" t="n">
        <x:v>42.24</x:v>
      </x:c>
      <x:c r="E16" s="1012" t="n">
        <x:v>13.73</x:v>
      </x:c>
      <x:c r="F16" s="1012" t="n">
        <x:v>51.04</x:v>
      </x:c>
      <x:c r="G16" s="1012" t="n">
        <x:v>14.5</x:v>
      </x:c>
      <x:c r="H16" s="1012" t="n">
        <x:v>-0.275</x:v>
      </x:c>
      <x:c r="I16" s="1012" t="n">
        <x:v>-0.35</x:v>
      </x:c>
      <x:c r="J16" s="1012" t="n">
        <x:v>25</x:v>
      </x:c>
      <x:c r="K16" s="1012" t="n">
        <x:v>1500</x:v>
      </x:c>
      <x:c r="L16" s="1010" t="str">
        <x:v>https://www.jasolar.com/uploadfile/fujian/2024/0807/2930bc471d5a.pdf</x:v>
      </x:c>
    </x:row>
    <x:row r="17" ht="34" customHeight="1">
      <x:c r="A17" s="1021" t="str">
        <x:v>JAM72S30-585-LR</x:v>
      </x:c>
      <x:c r="B17" s="1021" t="str">
        <x:v>JA Solar JAM72S30 585 W</x:v>
      </x:c>
      <x:c r="C17" s="1022" t="n">
        <x:v>585</x:v>
      </x:c>
      <x:c r="D17" s="1023" t="n">
        <x:v>42.42</x:v>
      </x:c>
      <x:c r="E17" s="1023" t="n">
        <x:v>13.79</x:v>
      </x:c>
      <x:c r="F17" s="1023" t="n">
        <x:v>51.22</x:v>
      </x:c>
      <x:c r="G17" s="1023" t="n">
        <x:v>14.56</x:v>
      </x:c>
      <x:c r="H17" s="1023" t="n">
        <x:v>-0.275</x:v>
      </x:c>
      <x:c r="I17" s="1023" t="n">
        <x:v>-0.35</x:v>
      </x:c>
      <x:c r="J17" s="1023" t="n">
        <x:v>25</x:v>
      </x:c>
      <x:c r="K17" s="1023" t="n">
        <x:v>1500</x:v>
      </x:c>
      <x:c r="L17" s="1021" t="str">
        <x:v>https://www.jasolar.com/uploadfile/fujian/2024/0807/2930bc471d5a.pdf</x:v>
      </x:c>
    </x:row>
    <x:row r="18" ht="34" customHeight="1">
      <x:c r="A18" s="1010" t="str">
        <x:v>JAM72D42-610-LB</x:v>
      </x:c>
      <x:c r="B18" s="1010" t="str">
        <x:v>JA Solar DeepBlue 4.0 Pro 610 W</x:v>
      </x:c>
      <x:c r="C18" s="1011" t="n">
        <x:v>610</x:v>
      </x:c>
      <x:c r="D18" s="1012" t="n">
        <x:v>43.11</x:v>
      </x:c>
      <x:c r="E18" s="1012" t="n">
        <x:v>14.15</x:v>
      </x:c>
      <x:c r="F18" s="1012" t="n">
        <x:v>51.67</x:v>
      </x:c>
      <x:c r="G18" s="1012" t="n">
        <x:v>15.01</x:v>
      </x:c>
      <x:c r="H18" s="1012" t="n">
        <x:v>-0.26</x:v>
      </x:c>
      <x:c r="I18" s="1012" t="n">
        <x:v>-0.3</x:v>
      </x:c>
      <x:c r="J18" s="1012" t="n">
        <x:v>30</x:v>
      </x:c>
      <x:c r="K18" s="1012" t="n">
        <x:v>1500</x:v>
      </x:c>
      <x:c r="L18" s="1010" t="str">
        <x:v>https://www.jasolar.com/uploadfile/2023/1215/20231215030708628.pdf</x:v>
      </x:c>
    </x:row>
    <x:row r="19" ht="34" customHeight="1">
      <x:c r="A19" s="1021" t="str">
        <x:v>JAM72D42-615-LB</x:v>
      </x:c>
      <x:c r="B19" s="1021" t="str">
        <x:v>JA Solar DeepBlue 4.0 Pro 615 W</x:v>
      </x:c>
      <x:c r="C19" s="1022" t="n">
        <x:v>615</x:v>
      </x:c>
      <x:c r="D19" s="1023" t="n">
        <x:v>43.31</x:v>
      </x:c>
      <x:c r="E19" s="1023" t="n">
        <x:v>14.2</x:v>
      </x:c>
      <x:c r="F19" s="1023" t="n">
        <x:v>51.87</x:v>
      </x:c>
      <x:c r="G19" s="1023" t="n">
        <x:v>15.06</x:v>
      </x:c>
      <x:c r="H19" s="1023" t="n">
        <x:v>-0.26</x:v>
      </x:c>
      <x:c r="I19" s="1023" t="n">
        <x:v>-0.3</x:v>
      </x:c>
      <x:c r="J19" s="1023" t="n">
        <x:v>30</x:v>
      </x:c>
      <x:c r="K19" s="1023" t="n">
        <x:v>1500</x:v>
      </x:c>
      <x:c r="L19" s="1021" t="str">
        <x:v>https://www.jasolar.com/uploadfile/2023/1215/20231215030708628.pdf</x:v>
      </x:c>
    </x:row>
    <x:row r="20" ht="34" customHeight="1">
      <x:c r="A20" s="1010" t="str">
        <x:v>JAM72D42-620-LB</x:v>
      </x:c>
      <x:c r="B20" s="1010" t="str">
        <x:v>JA Solar DeepBlue 4.0 Pro 620 W</x:v>
      </x:c>
      <x:c r="C20" s="1011" t="n">
        <x:v>620</x:v>
      </x:c>
      <x:c r="D20" s="1012" t="n">
        <x:v>43.51</x:v>
      </x:c>
      <x:c r="E20" s="1012" t="n">
        <x:v>14.25</x:v>
      </x:c>
      <x:c r="F20" s="1012" t="n">
        <x:v>52.07</x:v>
      </x:c>
      <x:c r="G20" s="1012" t="n">
        <x:v>15.11</x:v>
      </x:c>
      <x:c r="H20" s="1012" t="n">
        <x:v>-0.26</x:v>
      </x:c>
      <x:c r="I20" s="1012" t="n">
        <x:v>-0.3</x:v>
      </x:c>
      <x:c r="J20" s="1012" t="n">
        <x:v>30</x:v>
      </x:c>
      <x:c r="K20" s="1012" t="n">
        <x:v>1500</x:v>
      </x:c>
      <x:c r="L20" s="1010" t="str">
        <x:v>https://www.jasolar.com/uploadfile/2023/1215/20231215030708628.pdf</x:v>
      </x:c>
    </x:row>
    <x:row r="21" ht="34" customHeight="1">
      <x:c r="A21" s="1021" t="str">
        <x:v>JAM72D42-625-LB</x:v>
      </x:c>
      <x:c r="B21" s="1021" t="str">
        <x:v>JA Solar DeepBlue 4.0 Pro 625 W</x:v>
      </x:c>
      <x:c r="C21" s="1022" t="n">
        <x:v>625</x:v>
      </x:c>
      <x:c r="D21" s="1023" t="n">
        <x:v>43.71</x:v>
      </x:c>
      <x:c r="E21" s="1023" t="n">
        <x:v>14.3</x:v>
      </x:c>
      <x:c r="F21" s="1023" t="n">
        <x:v>52.27</x:v>
      </x:c>
      <x:c r="G21" s="1023" t="n">
        <x:v>15.16</x:v>
      </x:c>
      <x:c r="H21" s="1023" t="n">
        <x:v>-0.26</x:v>
      </x:c>
      <x:c r="I21" s="1023" t="n">
        <x:v>-0.3</x:v>
      </x:c>
      <x:c r="J21" s="1023" t="n">
        <x:v>30</x:v>
      </x:c>
      <x:c r="K21" s="1023" t="n">
        <x:v>1500</x:v>
      </x:c>
      <x:c r="L21" s="1021" t="str">
        <x:v>https://www.jasolar.com/uploadfile/2023/1215/20231215030708628.pdf</x:v>
      </x:c>
    </x:row>
    <x:row r="22" ht="34" customHeight="1">
      <x:c r="A22" s="1010" t="str">
        <x:v>TSM-NEG19RC.20-610</x:v>
      </x:c>
      <x:c r="B22" s="1010" t="str">
        <x:v>Trina Vertex N 610 W</x:v>
      </x:c>
      <x:c r="C22" s="1011" t="n">
        <x:v>610</x:v>
      </x:c>
      <x:c r="D22" s="1012" t="n">
        <x:v>39.79</x:v>
      </x:c>
      <x:c r="E22" s="1012" t="n">
        <x:v>15.33</x:v>
      </x:c>
      <x:c r="F22" s="1012" t="n">
        <x:v>48.09</x:v>
      </x:c>
      <x:c r="G22" s="1012" t="n">
        <x:v>16.14</x:v>
      </x:c>
      <x:c r="H22" s="1012" t="n">
        <x:v>-0.24</x:v>
      </x:c>
      <x:c r="I22" s="1012" t="n">
        <x:v>-0.29</x:v>
      </x:c>
      <x:c r="J22" s="1012" t="n">
        <x:v>35</x:v>
      </x:c>
      <x:c r="K22" s="1012" t="n">
        <x:v>1500</x:v>
      </x:c>
      <x:c r="L22" s="1010" t="str">
        <x:v>https://www-cdn.trinasolar.com/wwwstorage/sites/7/DT-M-0045-H-Datasheet_Vertex_NEG19RC.20_EN_2025_A.pdf</x:v>
      </x:c>
    </x:row>
    <x:row r="23" ht="34" customHeight="1">
      <x:c r="A23" s="1021" t="str">
        <x:v>TSM-NEG19RC.20-615</x:v>
      </x:c>
      <x:c r="B23" s="1021" t="str">
        <x:v>Trina Vertex N 615 W</x:v>
      </x:c>
      <x:c r="C23" s="1022" t="n">
        <x:v>615</x:v>
      </x:c>
      <x:c r="D23" s="1023" t="n">
        <x:v>39.97</x:v>
      </x:c>
      <x:c r="E23" s="1023" t="n">
        <x:v>15.39</x:v>
      </x:c>
      <x:c r="F23" s="1023" t="n">
        <x:v>48.29</x:v>
      </x:c>
      <x:c r="G23" s="1023" t="n">
        <x:v>16.2</x:v>
      </x:c>
      <x:c r="H23" s="1023" t="n">
        <x:v>-0.24</x:v>
      </x:c>
      <x:c r="I23" s="1023" t="n">
        <x:v>-0.29</x:v>
      </x:c>
      <x:c r="J23" s="1023" t="n">
        <x:v>35</x:v>
      </x:c>
      <x:c r="K23" s="1023" t="n">
        <x:v>1500</x:v>
      </x:c>
      <x:c r="L23" s="1021" t="str">
        <x:v>https://www-cdn.trinasolar.com/wwwstorage/sites/7/DT-M-0045-H-Datasheet_Vertex_NEG19RC.20_EN_2025_A.pdf</x:v>
      </x:c>
    </x:row>
    <x:row r="24" ht="34" customHeight="1">
      <x:c r="A24" s="1010" t="str">
        <x:v>TSM-NEG19RC.20-620</x:v>
      </x:c>
      <x:c r="B24" s="1010" t="str">
        <x:v>Trina Vertex N 620 W</x:v>
      </x:c>
      <x:c r="C24" s="1011" t="n">
        <x:v>620</x:v>
      </x:c>
      <x:c r="D24" s="1012" t="n">
        <x:v>40.24</x:v>
      </x:c>
      <x:c r="E24" s="1012" t="n">
        <x:v>15.41</x:v>
      </x:c>
      <x:c r="F24" s="1012" t="n">
        <x:v>48.5</x:v>
      </x:c>
      <x:c r="G24" s="1012" t="n">
        <x:v>16.26</x:v>
      </x:c>
      <x:c r="H24" s="1012" t="n">
        <x:v>-0.24</x:v>
      </x:c>
      <x:c r="I24" s="1012" t="n">
        <x:v>-0.29</x:v>
      </x:c>
      <x:c r="J24" s="1012" t="n">
        <x:v>35</x:v>
      </x:c>
      <x:c r="K24" s="1012" t="n">
        <x:v>1500</x:v>
      </x:c>
      <x:c r="L24" s="1010" t="str">
        <x:v>https://www-cdn.trinasolar.com/wwwstorage/sites/7/DT-M-0045-H-Datasheet_Vertex_NEG19RC.20_EN_2025_A.pdf</x:v>
      </x:c>
    </x:row>
    <x:row r="25" ht="34" customHeight="1">
      <x:c r="A25" s="1021" t="str">
        <x:v>TSM-NEG19RC.20-625</x:v>
      </x:c>
      <x:c r="B25" s="1021" t="str">
        <x:v>Trina Vertex N 625 W</x:v>
      </x:c>
      <x:c r="C25" s="1022" t="n">
        <x:v>625</x:v>
      </x:c>
      <x:c r="D25" s="1023" t="n">
        <x:v>40.46</x:v>
      </x:c>
      <x:c r="E25" s="1023" t="n">
        <x:v>15.45</x:v>
      </x:c>
      <x:c r="F25" s="1023" t="n">
        <x:v>48.7</x:v>
      </x:c>
      <x:c r="G25" s="1023" t="n">
        <x:v>16.32</x:v>
      </x:c>
      <x:c r="H25" s="1023" t="n">
        <x:v>-0.24</x:v>
      </x:c>
      <x:c r="I25" s="1023" t="n">
        <x:v>-0.29</x:v>
      </x:c>
      <x:c r="J25" s="1023" t="n">
        <x:v>35</x:v>
      </x:c>
      <x:c r="K25" s="1023" t="n">
        <x:v>1500</x:v>
      </x:c>
      <x:c r="L25" s="1021" t="str">
        <x:v>https://www-cdn.trinasolar.com/wwwstorage/sites/7/DT-M-0045-H-Datasheet_Vertex_NEG19RC.20_EN_2025_A.pdf</x:v>
      </x:c>
    </x:row>
    <x:row r="26" ht="34" customHeight="1">
      <x:c r="A26" s="1010" t="str">
        <x:v>TSM-NEG19RC.20-630</x:v>
      </x:c>
      <x:c r="B26" s="1010" t="str">
        <x:v>Trina Vertex N 630 W</x:v>
      </x:c>
      <x:c r="C26" s="1011" t="n">
        <x:v>630</x:v>
      </x:c>
      <x:c r="D26" s="1012" t="n">
        <x:v>40.68</x:v>
      </x:c>
      <x:c r="E26" s="1012" t="n">
        <x:v>15.49</x:v>
      </x:c>
      <x:c r="F26" s="1012" t="n">
        <x:v>48.9</x:v>
      </x:c>
      <x:c r="G26" s="1012" t="n">
        <x:v>16.38</x:v>
      </x:c>
      <x:c r="H26" s="1012" t="n">
        <x:v>-0.24</x:v>
      </x:c>
      <x:c r="I26" s="1012" t="n">
        <x:v>-0.29</x:v>
      </x:c>
      <x:c r="J26" s="1012" t="n">
        <x:v>35</x:v>
      </x:c>
      <x:c r="K26" s="1012" t="n">
        <x:v>1500</x:v>
      </x:c>
      <x:c r="L26" s="1010" t="str">
        <x:v>https://www-cdn.trinasolar.com/wwwstorage/sites/7/DT-M-0045-H-Datasheet_Vertex_NEG19RC.20_EN_2025_A.pdf</x:v>
      </x:c>
    </x:row>
    <x:row r="27" ht="34" customHeight="1">
      <x:c r="A27" s="1021" t="str">
        <x:v>LR5-72HGD-560M</x:v>
      </x:c>
      <x:c r="B27" s="1021" t="str">
        <x:v>LONGi Hi-MO 7 560 W</x:v>
      </x:c>
      <x:c r="C27" s="1022" t="n">
        <x:v>560</x:v>
      </x:c>
      <x:c r="D27" s="1023" t="n">
        <x:v>42.82</x:v>
      </x:c>
      <x:c r="E27" s="1023" t="n">
        <x:v>13.08</x:v>
      </x:c>
      <x:c r="F27" s="1023" t="n">
        <x:v>50.99</x:v>
      </x:c>
      <x:c r="G27" s="1023" t="n">
        <x:v>13.89</x:v>
      </x:c>
      <x:c r="H27" s="1023" t="n">
        <x:v>-0.23</x:v>
      </x:c>
      <x:c r="I27" s="1023" t="n">
        <x:v>-0.28</x:v>
      </x:c>
      <x:c r="J27" s="1023" t="n">
        <x:v>30</x:v>
      </x:c>
      <x:c r="K27" s="1023" t="n">
        <x:v>1500</x:v>
      </x:c>
      <x:c r="L27" s="1021" t="str">
        <x:v>https://static.longi.com/L_Gi_LE_PM_T_PMD_059_F139_LR_5_72_HGD_560_590_M_30_30_and_15_V18_0_9892145064.pdf</x:v>
      </x:c>
    </x:row>
    <x:row r="28" ht="34" customHeight="1">
      <x:c r="A28" s="1010" t="str">
        <x:v>LR5-72HGD-565M</x:v>
      </x:c>
      <x:c r="B28" s="1010" t="str">
        <x:v>LONGi Hi-MO 7 565 W</x:v>
      </x:c>
      <x:c r="C28" s="1011" t="n">
        <x:v>565</x:v>
      </x:c>
      <x:c r="D28" s="1012" t="n">
        <x:v>42.91</x:v>
      </x:c>
      <x:c r="E28" s="1012" t="n">
        <x:v>13.17</x:v>
      </x:c>
      <x:c r="F28" s="1012" t="n">
        <x:v>51.09</x:v>
      </x:c>
      <x:c r="G28" s="1012" t="n">
        <x:v>13.97</x:v>
      </x:c>
      <x:c r="H28" s="1012" t="n">
        <x:v>-0.23</x:v>
      </x:c>
      <x:c r="I28" s="1012" t="n">
        <x:v>-0.28</x:v>
      </x:c>
      <x:c r="J28" s="1012" t="n">
        <x:v>30</x:v>
      </x:c>
      <x:c r="K28" s="1012" t="n">
        <x:v>1500</x:v>
      </x:c>
      <x:c r="L28" s="1010" t="str">
        <x:v>https://static.longi.com/L_Gi_LE_PM_T_PMD_059_F139_LR_5_72_HGD_560_590_M_30_30_and_15_V18_0_9892145064.pdf</x:v>
      </x:c>
    </x:row>
    <x:row r="29" ht="34" customHeight="1">
      <x:c r="A29" s="1021" t="str">
        <x:v>LR5-72HGD-570M</x:v>
      </x:c>
      <x:c r="B29" s="1021" t="str">
        <x:v>LONGi Hi-MO 7 570 W</x:v>
      </x:c>
      <x:c r="C29" s="1022" t="n">
        <x:v>570</x:v>
      </x:c>
      <x:c r="D29" s="1023" t="n">
        <x:v>43</x:v>
      </x:c>
      <x:c r="E29" s="1023" t="n">
        <x:v>13.26</x:v>
      </x:c>
      <x:c r="F29" s="1023" t="n">
        <x:v>51.19</x:v>
      </x:c>
      <x:c r="G29" s="1023" t="n">
        <x:v>14.05</x:v>
      </x:c>
      <x:c r="H29" s="1023" t="n">
        <x:v>-0.23</x:v>
      </x:c>
      <x:c r="I29" s="1023" t="n">
        <x:v>-0.28</x:v>
      </x:c>
      <x:c r="J29" s="1023" t="n">
        <x:v>30</x:v>
      </x:c>
      <x:c r="K29" s="1023" t="n">
        <x:v>1500</x:v>
      </x:c>
      <x:c r="L29" s="1021" t="str">
        <x:v>https://static.longi.com/L_Gi_LE_PM_T_PMD_059_F139_LR_5_72_HGD_560_590_M_30_30_and_15_V18_0_9892145064.pdf</x:v>
      </x:c>
    </x:row>
    <x:row r="30" ht="34" customHeight="1">
      <x:c r="A30" s="1018" t="str">
        <x:v>LR5-72HGD-575M</x:v>
      </x:c>
      <x:c r="B30" s="1018" t="str">
        <x:v>LONGi Hi-MO 7 575 W</x:v>
      </x:c>
      <x:c r="C30" s="1018" t="n">
        <x:v>575</x:v>
      </x:c>
      <x:c r="D30" s="1018" t="n">
        <x:v>43.11</x:v>
      </x:c>
      <x:c r="E30" s="1018" t="n">
        <x:v>13.34</x:v>
      </x:c>
      <x:c r="F30" s="1018" t="n">
        <x:v>51.3</x:v>
      </x:c>
      <x:c r="G30" s="1018" t="n">
        <x:v>14.14</x:v>
      </x:c>
      <x:c r="H30" s="1018" t="n">
        <x:v>-0.23</x:v>
      </x:c>
      <x:c r="I30" s="1018" t="n">
        <x:v>-0.28</x:v>
      </x:c>
      <x:c r="J30" s="1018" t="n">
        <x:v>30</x:v>
      </x:c>
      <x:c r="K30" s="1018" t="n">
        <x:v>1500</x:v>
      </x:c>
      <x:c r="L30" s="1018" t="str">
        <x:v>https://static.longi.com/L_Gi_LE_PM_T_PMD_059_F139_LR_5_72_HGD_560_590_M_30_30_and_15_V18_0_9892145064.pdf</x:v>
      </x:c>
    </x:row>
    <x:row r="31" ht="34" customHeight="1">
      <x:c r="A31" s="1021" t="str">
        <x:v>LR5-72HGD-580M</x:v>
      </x:c>
      <x:c r="B31" s="1021" t="str">
        <x:v>LONGi Hi-MO 7 580 W</x:v>
      </x:c>
      <x:c r="C31" s="1021" t="n">
        <x:v>580</x:v>
      </x:c>
      <x:c r="D31" s="1021" t="n">
        <x:v>43.22</x:v>
      </x:c>
      <x:c r="E31" s="1021" t="n">
        <x:v>13.42</x:v>
      </x:c>
      <x:c r="F31" s="1021" t="n">
        <x:v>51.41</x:v>
      </x:c>
      <x:c r="G31" s="1021" t="n">
        <x:v>14.22</x:v>
      </x:c>
      <x:c r="H31" s="1021" t="n">
        <x:v>-0.23</x:v>
      </x:c>
      <x:c r="I31" s="1021" t="n">
        <x:v>-0.28</x:v>
      </x:c>
      <x:c r="J31" s="1021" t="n">
        <x:v>30</x:v>
      </x:c>
      <x:c r="K31" s="1021" t="n">
        <x:v>1500</x:v>
      </x:c>
      <x:c r="L31" s="1021" t="str">
        <x:v>https://static.longi.com/L_Gi_LE_PM_T_PMD_059_F139_LR_5_72_HGD_560_590_M_30_30_and_15_V18_0_9892145064.pdf</x:v>
      </x:c>
    </x:row>
    <x:row r="32" ht="34" customHeight="1">
      <x:c r="A32" s="1018" t="str">
        <x:v>LR5-72HGD-585M</x:v>
      </x:c>
      <x:c r="B32" s="1018" t="str">
        <x:v>LONGi Hi-MO 7 585 W</x:v>
      </x:c>
      <x:c r="C32" s="1018" t="n">
        <x:v>585</x:v>
      </x:c>
      <x:c r="D32" s="1018" t="n">
        <x:v>43.33</x:v>
      </x:c>
      <x:c r="E32" s="1018" t="n">
        <x:v>13.51</x:v>
      </x:c>
      <x:c r="F32" s="1018" t="n">
        <x:v>51.52</x:v>
      </x:c>
      <x:c r="G32" s="1018" t="n">
        <x:v>14.3</x:v>
      </x:c>
      <x:c r="H32" s="1018" t="n">
        <x:v>-0.23</x:v>
      </x:c>
      <x:c r="I32" s="1018" t="n">
        <x:v>-0.28</x:v>
      </x:c>
      <x:c r="J32" s="1018" t="n">
        <x:v>30</x:v>
      </x:c>
      <x:c r="K32" s="1018" t="n">
        <x:v>1500</x:v>
      </x:c>
      <x:c r="L32" s="1018" t="str">
        <x:v>https://static.longi.com/L_Gi_LE_PM_T_PMD_059_F139_LR_5_72_HGD_560_590_M_30_30_and_15_V18_0_9892145064.pdf</x:v>
      </x:c>
    </x:row>
    <x:row r="33" ht="34" customHeight="1">
      <x:c r="A33" s="1021" t="str">
        <x:v>LR5-72HGD-590M</x:v>
      </x:c>
      <x:c r="B33" s="1021" t="str">
        <x:v>LONGi Hi-MO 7 590 W</x:v>
      </x:c>
      <x:c r="C33" s="1021" t="n">
        <x:v>590</x:v>
      </x:c>
      <x:c r="D33" s="1021" t="n">
        <x:v>43.44</x:v>
      </x:c>
      <x:c r="E33" s="1021" t="n">
        <x:v>13.59</x:v>
      </x:c>
      <x:c r="F33" s="1021" t="n">
        <x:v>51.63</x:v>
      </x:c>
      <x:c r="G33" s="1021" t="n">
        <x:v>14.38</x:v>
      </x:c>
      <x:c r="H33" s="1021" t="n">
        <x:v>-0.23</x:v>
      </x:c>
      <x:c r="I33" s="1021" t="n">
        <x:v>-0.28</x:v>
      </x:c>
      <x:c r="J33" s="1021" t="n">
        <x:v>30</x:v>
      </x:c>
      <x:c r="K33" s="1021" t="n">
        <x:v>1500</x:v>
      </x:c>
      <x:c r="L33" s="1021" t="str">
        <x:v>https://static.longi.com/L_Gi_LE_PM_T_PMD_059_F139_LR_5_72_HGD_560_590_M_30_30_and_15_V18_0_9892145064.pdf</x:v>
      </x:c>
    </x:row>
    <x:row r="34" ht="34" customHeight="1">
      <x:c r="A34" s="1018" t="str">
        <x:v>LR8-66HGD-595M</x:v>
      </x:c>
      <x:c r="B34" s="1018" t="str">
        <x:v>LONGi Hi-MO 7 595 W</x:v>
      </x:c>
      <x:c r="C34" s="1018" t="n">
        <x:v>595</x:v>
      </x:c>
      <x:c r="D34" s="1018" t="n">
        <x:v>39.91</x:v>
      </x:c>
      <x:c r="E34" s="1018" t="n">
        <x:v>14.91</x:v>
      </x:c>
      <x:c r="F34" s="1018" t="n">
        <x:v>47.78</x:v>
      </x:c>
      <x:c r="G34" s="1018" t="n">
        <x:v>15.8</x:v>
      </x:c>
      <x:c r="H34" s="1018" t="n">
        <x:v>-0.23</x:v>
      </x:c>
      <x:c r="I34" s="1018" t="n">
        <x:v>-0.28</x:v>
      </x:c>
      <x:c r="J34" s="1018" t="n">
        <x:v>30</x:v>
      </x:c>
      <x:c r="K34" s="1018" t="n">
        <x:v>1500</x:v>
      </x:c>
      <x:c r="L34" s="1018" t="str">
        <x:v>https://static.longi.com/Hi_MO_7_LR_8_66_HGD_595_625_M_V3_2_EN_fcf4fbe47f.pdf</x:v>
      </x:c>
    </x:row>
    <x:row r="35" ht="34" customHeight="1">
      <x:c r="A35" s="1021" t="str">
        <x:v>LR8-66HGD-600M</x:v>
      </x:c>
      <x:c r="B35" s="1021" t="str">
        <x:v>LONGi Hi-MO 7 600 W</x:v>
      </x:c>
      <x:c r="C35" s="1021" t="n">
        <x:v>600</x:v>
      </x:c>
      <x:c r="D35" s="1021" t="n">
        <x:v>40.11</x:v>
      </x:c>
      <x:c r="E35" s="1021" t="n">
        <x:v>14.96</x:v>
      </x:c>
      <x:c r="F35" s="1021" t="n">
        <x:v>47.98</x:v>
      </x:c>
      <x:c r="G35" s="1021" t="n">
        <x:v>15.85</x:v>
      </x:c>
      <x:c r="H35" s="1021" t="n">
        <x:v>-0.23</x:v>
      </x:c>
      <x:c r="I35" s="1021" t="n">
        <x:v>-0.28</x:v>
      </x:c>
      <x:c r="J35" s="1021" t="n">
        <x:v>30</x:v>
      </x:c>
      <x:c r="K35" s="1021" t="n">
        <x:v>1500</x:v>
      </x:c>
      <x:c r="L35" s="1021" t="str">
        <x:v>https://static.longi.com/Hi_MO_7_LR_8_66_HGD_595_625_M_V3_2_EN_fcf4fbe47f.pdf</x:v>
      </x:c>
    </x:row>
    <x:row r="36" ht="34" customHeight="1">
      <x:c r="A36" s="1018" t="str">
        <x:v>LR8-66HGD-605M</x:v>
      </x:c>
      <x:c r="B36" s="1018" t="str">
        <x:v>LONGi Hi-MO 7 605 W</x:v>
      </x:c>
      <x:c r="C36" s="1018" t="n">
        <x:v>605</x:v>
      </x:c>
      <x:c r="D36" s="1018" t="n">
        <x:v>40.31</x:v>
      </x:c>
      <x:c r="E36" s="1018" t="n">
        <x:v>15.01</x:v>
      </x:c>
      <x:c r="F36" s="1018" t="n">
        <x:v>48.18</x:v>
      </x:c>
      <x:c r="G36" s="1018" t="n">
        <x:v>15.9</x:v>
      </x:c>
      <x:c r="H36" s="1018" t="n">
        <x:v>-0.23</x:v>
      </x:c>
      <x:c r="I36" s="1018" t="n">
        <x:v>-0.28</x:v>
      </x:c>
      <x:c r="J36" s="1018" t="n">
        <x:v>30</x:v>
      </x:c>
      <x:c r="K36" s="1018" t="n">
        <x:v>1500</x:v>
      </x:c>
      <x:c r="L36" s="1018" t="str">
        <x:v>https://static.longi.com/Hi_MO_7_LR_8_66_HGD_595_625_M_V3_2_EN_fcf4fbe47f.pdf</x:v>
      </x:c>
    </x:row>
    <x:row r="37" ht="34" customHeight="1">
      <x:c r="A37" s="1021" t="str">
        <x:v>LR8-66HGD-610M</x:v>
      </x:c>
      <x:c r="B37" s="1021" t="str">
        <x:v>LONGi Hi-MO 7 610 W</x:v>
      </x:c>
      <x:c r="C37" s="1021" t="n">
        <x:v>610</x:v>
      </x:c>
      <x:c r="D37" s="1021" t="n">
        <x:v>40.51</x:v>
      </x:c>
      <x:c r="E37" s="1021" t="n">
        <x:v>15.06</x:v>
      </x:c>
      <x:c r="F37" s="1021" t="n">
        <x:v>48.38</x:v>
      </x:c>
      <x:c r="G37" s="1021" t="n">
        <x:v>15.95</x:v>
      </x:c>
      <x:c r="H37" s="1021" t="n">
        <x:v>-0.23</x:v>
      </x:c>
      <x:c r="I37" s="1021" t="n">
        <x:v>-0.28</x:v>
      </x:c>
      <x:c r="J37" s="1021" t="n">
        <x:v>30</x:v>
      </x:c>
      <x:c r="K37" s="1021" t="n">
        <x:v>1500</x:v>
      </x:c>
      <x:c r="L37" s="1021" t="str">
        <x:v>https://static.longi.com/Hi_MO_7_LR_8_66_HGD_595_625_M_V3_2_EN_fcf4fbe47f.pdf</x:v>
      </x:c>
    </x:row>
    <x:row r="38" ht="34" customHeight="1">
      <x:c r="A38" s="1018" t="str">
        <x:v>LR8-66HGD-615M</x:v>
      </x:c>
      <x:c r="B38" s="1018" t="str">
        <x:v>LONGi Hi-MO 7 615 W</x:v>
      </x:c>
      <x:c r="C38" s="1018" t="n">
        <x:v>615</x:v>
      </x:c>
      <x:c r="D38" s="1018" t="n">
        <x:v>40.71</x:v>
      </x:c>
      <x:c r="E38" s="1018" t="n">
        <x:v>15.11</x:v>
      </x:c>
      <x:c r="F38" s="1018" t="n">
        <x:v>48.58</x:v>
      </x:c>
      <x:c r="G38" s="1018" t="n">
        <x:v>16</x:v>
      </x:c>
      <x:c r="H38" s="1018" t="n">
        <x:v>-0.23</x:v>
      </x:c>
      <x:c r="I38" s="1018" t="n">
        <x:v>-0.28</x:v>
      </x:c>
      <x:c r="J38" s="1018" t="n">
        <x:v>30</x:v>
      </x:c>
      <x:c r="K38" s="1018" t="n">
        <x:v>1500</x:v>
      </x:c>
      <x:c r="L38" s="1018" t="str">
        <x:v>https://static.longi.com/Hi_MO_7_LR_8_66_HGD_595_625_M_V3_2_EN_fcf4fbe47f.pdf</x:v>
      </x:c>
    </x:row>
    <x:row r="39" ht="34" customHeight="1">
      <x:c r="A39" s="1021" t="str">
        <x:v>LR8-66HGD-620M</x:v>
      </x:c>
      <x:c r="B39" s="1021" t="str">
        <x:v>LONGi Hi-MO 7 620 W</x:v>
      </x:c>
      <x:c r="C39" s="1021" t="n">
        <x:v>620</x:v>
      </x:c>
      <x:c r="D39" s="1021" t="n">
        <x:v>40.91</x:v>
      </x:c>
      <x:c r="E39" s="1021" t="n">
        <x:v>15.16</x:v>
      </x:c>
      <x:c r="F39" s="1021" t="n">
        <x:v>48.78</x:v>
      </x:c>
      <x:c r="G39" s="1021" t="n">
        <x:v>16.05</x:v>
      </x:c>
      <x:c r="H39" s="1021" t="n">
        <x:v>-0.23</x:v>
      </x:c>
      <x:c r="I39" s="1021" t="n">
        <x:v>-0.28</x:v>
      </x:c>
      <x:c r="J39" s="1021" t="n">
        <x:v>30</x:v>
      </x:c>
      <x:c r="K39" s="1021" t="n">
        <x:v>1500</x:v>
      </x:c>
      <x:c r="L39" s="1021" t="str">
        <x:v>https://static.longi.com/Hi_MO_7_LR_8_66_HGD_595_625_M_V3_2_EN_fcf4fbe47f.pdf</x:v>
      </x:c>
    </x:row>
    <x:row r="40" ht="34" customHeight="1">
      <x:c r="A40" s="1018" t="str">
        <x:v>LR8-66HGD-625M</x:v>
      </x:c>
      <x:c r="B40" s="1018" t="str">
        <x:v>LONGi Hi-MO 7 625 W</x:v>
      </x:c>
      <x:c r="C40" s="1018" t="n">
        <x:v>625</x:v>
      </x:c>
      <x:c r="D40" s="1018" t="n">
        <x:v>41.11</x:v>
      </x:c>
      <x:c r="E40" s="1018" t="n">
        <x:v>15.21</x:v>
      </x:c>
      <x:c r="F40" s="1018" t="n">
        <x:v>48.98</x:v>
      </x:c>
      <x:c r="G40" s="1018" t="n">
        <x:v>16.1</x:v>
      </x:c>
      <x:c r="H40" s="1018" t="n">
        <x:v>-0.23</x:v>
      </x:c>
      <x:c r="I40" s="1018" t="n">
        <x:v>-0.28</x:v>
      </x:c>
      <x:c r="J40" s="1018" t="n">
        <x:v>30</x:v>
      </x:c>
      <x:c r="K40" s="1018" t="n">
        <x:v>1500</x:v>
      </x:c>
      <x:c r="L40" s="1018" t="str">
        <x:v>https://static.longi.com/Hi_MO_7_LR_8_66_HGD_595_625_M_V3_2_EN_fcf4fbe47f.pdf</x:v>
      </x:c>
    </x:row>
    <x:row r="41" ht="34" customHeight="1">
      <x:c r="A41" s="1021" t="str">
        <x:v>LR7-72HVD-625M</x:v>
      </x:c>
      <x:c r="B41" s="1021" t="str">
        <x:v>LONGi Hi-MO X10 625 W</x:v>
      </x:c>
      <x:c r="C41" s="1021" t="n">
        <x:v>625</x:v>
      </x:c>
      <x:c r="D41" s="1021" t="n">
        <x:v>44.16</x:v>
      </x:c>
      <x:c r="E41" s="1021" t="n">
        <x:v>14.16</x:v>
      </x:c>
      <x:c r="F41" s="1021" t="n">
        <x:v>53.3</x:v>
      </x:c>
      <x:c r="G41" s="1021" t="n">
        <x:v>14.85</x:v>
      </x:c>
      <x:c r="H41" s="1021" t="n">
        <x:v>-0.2</x:v>
      </x:c>
      <x:c r="I41" s="1021" t="n">
        <x:v>-0.26</x:v>
      </x:c>
      <x:c r="J41" s="1021" t="n">
        <x:v>30</x:v>
      </x:c>
      <x:c r="K41" s="1021" t="n">
        <x:v>1500</x:v>
      </x:c>
      <x:c r="L41" s="1021" t="str">
        <x:v>https://static.longi.com/LR_7_72_HVD_625_645_M_30_30_and_15_Explorer_V01_EN_6fa071867c.pdf</x:v>
      </x:c>
    </x:row>
    <x:row r="42" ht="34" customHeight="1">
      <x:c r="A42" s="1018" t="str">
        <x:v>LR7-72HVD-630M</x:v>
      </x:c>
      <x:c r="B42" s="1018" t="str">
        <x:v>LONGi Hi-MO X10 630 W</x:v>
      </x:c>
      <x:c r="C42" s="1018" t="n">
        <x:v>630</x:v>
      </x:c>
      <x:c r="D42" s="1018" t="n">
        <x:v>44.26</x:v>
      </x:c>
      <x:c r="E42" s="1018" t="n">
        <x:v>14.24</x:v>
      </x:c>
      <x:c r="F42" s="1018" t="n">
        <x:v>53.4</x:v>
      </x:c>
      <x:c r="G42" s="1018" t="n">
        <x:v>14.93</x:v>
      </x:c>
      <x:c r="H42" s="1018" t="n">
        <x:v>-0.2</x:v>
      </x:c>
      <x:c r="I42" s="1018" t="n">
        <x:v>-0.26</x:v>
      </x:c>
      <x:c r="J42" s="1018" t="n">
        <x:v>30</x:v>
      </x:c>
      <x:c r="K42" s="1018" t="n">
        <x:v>1500</x:v>
      </x:c>
      <x:c r="L42" s="1018" t="str">
        <x:v>https://static.longi.com/LR_7_72_HVD_625_645_M_30_30_and_15_Explorer_V01_EN_6fa071867c.pdf</x:v>
      </x:c>
    </x:row>
    <x:row r="43" ht="34" customHeight="1">
      <x:c r="A43" s="1021" t="str">
        <x:v>LR7-72HVD-635M</x:v>
      </x:c>
      <x:c r="B43" s="1021" t="str">
        <x:v>LONGi Hi-MO X10 635 W</x:v>
      </x:c>
      <x:c r="C43" s="1021" t="n">
        <x:v>635</x:v>
      </x:c>
      <x:c r="D43" s="1021" t="n">
        <x:v>44.36</x:v>
      </x:c>
      <x:c r="E43" s="1021" t="n">
        <x:v>14.32</x:v>
      </x:c>
      <x:c r="F43" s="1021" t="n">
        <x:v>53.5</x:v>
      </x:c>
      <x:c r="G43" s="1021" t="n">
        <x:v>15.01</x:v>
      </x:c>
      <x:c r="H43" s="1021" t="n">
        <x:v>-0.2</x:v>
      </x:c>
      <x:c r="I43" s="1021" t="n">
        <x:v>-0.26</x:v>
      </x:c>
      <x:c r="J43" s="1021" t="n">
        <x:v>30</x:v>
      </x:c>
      <x:c r="K43" s="1021" t="n">
        <x:v>1500</x:v>
      </x:c>
      <x:c r="L43" s="1021" t="str">
        <x:v>https://static.longi.com/LR_7_72_HVD_625_645_M_30_30_and_15_Explorer_V01_EN_6fa071867c.pdf</x:v>
      </x:c>
    </x:row>
    <x:row r="44" ht="34" customHeight="1">
      <x:c r="A44" s="1018" t="str">
        <x:v>LR7-72HVD-640M</x:v>
      </x:c>
      <x:c r="B44" s="1018" t="str">
        <x:v>LONGi Hi-MO X10 640 W</x:v>
      </x:c>
      <x:c r="C44" s="1018" t="n">
        <x:v>640</x:v>
      </x:c>
      <x:c r="D44" s="1018" t="n">
        <x:v>44.46</x:v>
      </x:c>
      <x:c r="E44" s="1018" t="n">
        <x:v>14.4</x:v>
      </x:c>
      <x:c r="F44" s="1018" t="n">
        <x:v>53.6</x:v>
      </x:c>
      <x:c r="G44" s="1018" t="n">
        <x:v>15.09</x:v>
      </x:c>
      <x:c r="H44" s="1018" t="n">
        <x:v>-0.2</x:v>
      </x:c>
      <x:c r="I44" s="1018" t="n">
        <x:v>-0.26</x:v>
      </x:c>
      <x:c r="J44" s="1018" t="n">
        <x:v>30</x:v>
      </x:c>
      <x:c r="K44" s="1018" t="n">
        <x:v>1500</x:v>
      </x:c>
      <x:c r="L44" s="1018" t="str">
        <x:v>https://static.longi.com/LR_7_72_HVD_625_645_M_30_30_and_15_Explorer_V01_EN_6fa071867c.pdf</x:v>
      </x:c>
    </x:row>
    <x:row r="45" ht="34" customHeight="1">
      <x:c r="A45" s="1021" t="str">
        <x:v>LR7-72HVD-645M</x:v>
      </x:c>
      <x:c r="B45" s="1021" t="str">
        <x:v>LONGi Hi-MO X10 645 W</x:v>
      </x:c>
      <x:c r="C45" s="1021" t="n">
        <x:v>645</x:v>
      </x:c>
      <x:c r="D45" s="1021" t="n">
        <x:v>44.56</x:v>
      </x:c>
      <x:c r="E45" s="1021" t="n">
        <x:v>14.48</x:v>
      </x:c>
      <x:c r="F45" s="1021" t="n">
        <x:v>53.7</x:v>
      </x:c>
      <x:c r="G45" s="1021" t="n">
        <x:v>15.17</x:v>
      </x:c>
      <x:c r="H45" s="1021" t="n">
        <x:v>-0.2</x:v>
      </x:c>
      <x:c r="I45" s="1021" t="n">
        <x:v>-0.26</x:v>
      </x:c>
      <x:c r="J45" s="1021" t="n">
        <x:v>30</x:v>
      </x:c>
      <x:c r="K45" s="1021" t="n">
        <x:v>1500</x:v>
      </x:c>
      <x:c r="L45" s="1021" t="str">
        <x:v>https://static.longi.com/LR_7_72_HVD_625_645_M_30_30_and_15_Explorer_V01_EN_6fa071867c.pdf</x:v>
      </x:c>
    </x:row>
    <x:row r="46" ht="34" customHeight="1">
      <x:c r="A46" s="1018" t="str">
        <x:v>CS6.2-66TB-590H</x:v>
      </x:c>
      <x:c r="B46" s="1018" t="str">
        <x:v>Canadian Solar TOPBiHiKu6 590 W</x:v>
      </x:c>
      <x:c r="C46" s="1018" t="n">
        <x:v>590</x:v>
      </x:c>
      <x:c r="D46" s="1018" t="n">
        <x:v>40</x:v>
      </x:c>
      <x:c r="E46" s="1018" t="n">
        <x:v>14.76</x:v>
      </x:c>
      <x:c r="F46" s="1018" t="n">
        <x:v>47.2</x:v>
      </x:c>
      <x:c r="G46" s="1018" t="n">
        <x:v>15.73</x:v>
      </x:c>
      <x:c r="H46" s="1018" t="n">
        <x:v>-0.25</x:v>
      </x:c>
      <x:c r="I46" s="1018" t="n">
        <x:v>-0.29</x:v>
      </x:c>
      <x:c r="J46" s="1018" t="n">
        <x:v>30</x:v>
      </x:c>
      <x:c r="K46" s="1018" t="n">
        <x:v>1500</x:v>
      </x:c>
      <x:c r="L46" s="1018" t="str">
        <x:v>https://www.canadiansolar.com/wp-content/uploads/sites/3/2026/04/CS-Datasheet-TOPBiHiKu6_CS6.2-66TB-H_v1.1_F68_L1B_TX.pdf</x:v>
      </x:c>
    </x:row>
    <x:row r="47" ht="34" customHeight="1">
      <x:c r="A47" s="1021" t="str">
        <x:v>CS6.2-66TB-595H</x:v>
      </x:c>
      <x:c r="B47" s="1021" t="str">
        <x:v>Canadian Solar TOPBiHiKu6 595 W</x:v>
      </x:c>
      <x:c r="C47" s="1021" t="n">
        <x:v>595</x:v>
      </x:c>
      <x:c r="D47" s="1021" t="n">
        <x:v>40.2</x:v>
      </x:c>
      <x:c r="E47" s="1021" t="n">
        <x:v>14.81</x:v>
      </x:c>
      <x:c r="F47" s="1021" t="n">
        <x:v>47.4</x:v>
      </x:c>
      <x:c r="G47" s="1021" t="n">
        <x:v>15.79</x:v>
      </x:c>
      <x:c r="H47" s="1021" t="n">
        <x:v>-0.25</x:v>
      </x:c>
      <x:c r="I47" s="1021" t="n">
        <x:v>-0.29</x:v>
      </x:c>
      <x:c r="J47" s="1021" t="n">
        <x:v>30</x:v>
      </x:c>
      <x:c r="K47" s="1021" t="n">
        <x:v>1500</x:v>
      </x:c>
      <x:c r="L47" s="1021" t="str">
        <x:v>https://www.canadiansolar.com/wp-content/uploads/sites/3/2026/04/CS-Datasheet-TOPBiHiKu6_CS6.2-66TB-H_v1.1_F68_L1B_TX.pdf</x:v>
      </x:c>
    </x:row>
    <x:row r="48" ht="34" customHeight="1">
      <x:c r="A48" s="1018" t="str">
        <x:v>CS6.2-66TB-600H</x:v>
      </x:c>
      <x:c r="B48" s="1018" t="str">
        <x:v>Canadian Solar TOPBiHiKu6 600 W</x:v>
      </x:c>
      <x:c r="C48" s="1018" t="n">
        <x:v>600</x:v>
      </x:c>
      <x:c r="D48" s="1018" t="n">
        <x:v>40.4</x:v>
      </x:c>
      <x:c r="E48" s="1018" t="n">
        <x:v>14.86</x:v>
      </x:c>
      <x:c r="F48" s="1018" t="n">
        <x:v>47.6</x:v>
      </x:c>
      <x:c r="G48" s="1018" t="n">
        <x:v>15.85</x:v>
      </x:c>
      <x:c r="H48" s="1018" t="n">
        <x:v>-0.25</x:v>
      </x:c>
      <x:c r="I48" s="1018" t="n">
        <x:v>-0.29</x:v>
      </x:c>
      <x:c r="J48" s="1018" t="n">
        <x:v>30</x:v>
      </x:c>
      <x:c r="K48" s="1018" t="n">
        <x:v>1500</x:v>
      </x:c>
      <x:c r="L48" s="1018" t="str">
        <x:v>https://www.canadiansolar.com/wp-content/uploads/sites/3/2026/04/CS-Datasheet-TOPBiHiKu6_CS6.2-66TB-H_v1.1_F68_L1B_TX.pdf</x:v>
      </x:c>
    </x:row>
    <x:row r="49" ht="34" customHeight="1">
      <x:c r="A49" s="1021" t="str">
        <x:v>CS6.2-66TB-605H</x:v>
      </x:c>
      <x:c r="B49" s="1021" t="str">
        <x:v>Canadian Solar TOPBiHiKu6 605 W</x:v>
      </x:c>
      <x:c r="C49" s="1021" t="n">
        <x:v>605</x:v>
      </x:c>
      <x:c r="D49" s="1021" t="n">
        <x:v>40.6</x:v>
      </x:c>
      <x:c r="E49" s="1021" t="n">
        <x:v>14.91</x:v>
      </x:c>
      <x:c r="F49" s="1021" t="n">
        <x:v>47.8</x:v>
      </x:c>
      <x:c r="G49" s="1021" t="n">
        <x:v>15.91</x:v>
      </x:c>
      <x:c r="H49" s="1021" t="n">
        <x:v>-0.25</x:v>
      </x:c>
      <x:c r="I49" s="1021" t="n">
        <x:v>-0.29</x:v>
      </x:c>
      <x:c r="J49" s="1021" t="n">
        <x:v>30</x:v>
      </x:c>
      <x:c r="K49" s="1021" t="n">
        <x:v>1500</x:v>
      </x:c>
      <x:c r="L49" s="1021" t="str">
        <x:v>https://www.canadiansolar.com/wp-content/uploads/sites/3/2026/04/CS-Datasheet-TOPBiHiKu6_CS6.2-66TB-H_v1.1_F68_L1B_TX.pdf</x:v>
      </x:c>
    </x:row>
    <x:row r="50" ht="34" customHeight="1">
      <x:c r="A50" s="1018" t="str">
        <x:v>CS6.2-66TB-610H</x:v>
      </x:c>
      <x:c r="B50" s="1018" t="str">
        <x:v>Canadian Solar TOPBiHiKu6 610 W</x:v>
      </x:c>
      <x:c r="C50" s="1018" t="n">
        <x:v>610</x:v>
      </x:c>
      <x:c r="D50" s="1018" t="n">
        <x:v>40.8</x:v>
      </x:c>
      <x:c r="E50" s="1018" t="n">
        <x:v>14.96</x:v>
      </x:c>
      <x:c r="F50" s="1018" t="n">
        <x:v>48</x:v>
      </x:c>
      <x:c r="G50" s="1018" t="n">
        <x:v>15.97</x:v>
      </x:c>
      <x:c r="H50" s="1018" t="n">
        <x:v>-0.25</x:v>
      </x:c>
      <x:c r="I50" s="1018" t="n">
        <x:v>-0.29</x:v>
      </x:c>
      <x:c r="J50" s="1018" t="n">
        <x:v>30</x:v>
      </x:c>
      <x:c r="K50" s="1018" t="n">
        <x:v>1500</x:v>
      </x:c>
      <x:c r="L50" s="1018" t="str">
        <x:v>https://www.canadiansolar.com/wp-content/uploads/sites/3/2026/04/CS-Datasheet-TOPBiHiKu6_CS6.2-66TB-H_v1.1_F68_L1B_TX.pdf</x:v>
      </x:c>
    </x:row>
    <x:row r="51" ht="34" customHeight="1">
      <x:c r="A51" s="1021" t="str">
        <x:v>CS6.2-66TB-615H</x:v>
      </x:c>
      <x:c r="B51" s="1021" t="str">
        <x:v>Canadian Solar TOPBiHiKu6 615 W</x:v>
      </x:c>
      <x:c r="C51" s="1021" t="n">
        <x:v>615</x:v>
      </x:c>
      <x:c r="D51" s="1021" t="n">
        <x:v>41</x:v>
      </x:c>
      <x:c r="E51" s="1021" t="n">
        <x:v>15.01</x:v>
      </x:c>
      <x:c r="F51" s="1021" t="n">
        <x:v>48.2</x:v>
      </x:c>
      <x:c r="G51" s="1021" t="n">
        <x:v>16.02</x:v>
      </x:c>
      <x:c r="H51" s="1021" t="n">
        <x:v>-0.25</x:v>
      </x:c>
      <x:c r="I51" s="1021" t="n">
        <x:v>-0.29</x:v>
      </x:c>
      <x:c r="J51" s="1021" t="n">
        <x:v>30</x:v>
      </x:c>
      <x:c r="K51" s="1021" t="n">
        <x:v>1500</x:v>
      </x:c>
      <x:c r="L51" s="1021" t="str">
        <x:v>https://www.canadiansolar.com/wp-content/uploads/sites/3/2026/04/CS-Datasheet-TOPBiHiKu6_CS6.2-66TB-H_v1.1_F68_L1B_TX.pdf</x:v>
      </x:c>
    </x:row>
    <x:row r="52" ht="34" customHeight="1">
      <x:c r="A52" s="1018" t="str">
        <x:v>CS6.2-66TB-620H</x:v>
      </x:c>
      <x:c r="B52" s="1018" t="str">
        <x:v>Canadian Solar TOPBiHiKu6 620 W</x:v>
      </x:c>
      <x:c r="C52" s="1018" t="n">
        <x:v>620</x:v>
      </x:c>
      <x:c r="D52" s="1018" t="n">
        <x:v>41.2</x:v>
      </x:c>
      <x:c r="E52" s="1018" t="n">
        <x:v>15.06</x:v>
      </x:c>
      <x:c r="F52" s="1018" t="n">
        <x:v>48.4</x:v>
      </x:c>
      <x:c r="G52" s="1018" t="n">
        <x:v>16.08</x:v>
      </x:c>
      <x:c r="H52" s="1018" t="n">
        <x:v>-0.25</x:v>
      </x:c>
      <x:c r="I52" s="1018" t="n">
        <x:v>-0.29</x:v>
      </x:c>
      <x:c r="J52" s="1018" t="n">
        <x:v>30</x:v>
      </x:c>
      <x:c r="K52" s="1018" t="n">
        <x:v>1500</x:v>
      </x:c>
      <x:c r="L52" s="1018" t="str">
        <x:v>https://www.canadiansolar.com/wp-content/uploads/sites/3/2026/04/CS-Datasheet-TOPBiHiKu6_CS6.2-66TB-H_v1.1_F68_L1B_TX.pdf</x:v>
      </x:c>
    </x:row>
    <x:row r="207">
      <x:c r="A207" s="1027" t="str">
        <x:v>Source et emploi : fiches techniques officielles des fabricants en colonne L, valeurs STC. Pour chaque projet, contrôler la révision et la référence livrée, le Voc au froid, la tension Vmp, le courant Isc, les tolérances et la compatibilité du MPPT.</x:v>
      </x:c>
      <x:c r="B207" s="1027"/>
      <x:c r="C207" s="1027"/>
      <x:c r="D207" s="1027"/>
      <x:c r="E207" s="1027"/>
      <x:c r="F207" s="1027"/>
      <x:c r="G207" s="1027"/>
      <x:c r="H207" s="1027"/>
      <x:c r="I207" s="1027"/>
      <x:c r="J207" s="1027"/>
      <x:c r="K207" s="1027"/>
      <x:c r="L207" s="1027"/>
    </x:row>
    <x:row r="208">
      <x:c r="A208" s="1027"/>
      <x:c r="B208" s="1027"/>
      <x:c r="C208" s="1027"/>
      <x:c r="D208" s="1027"/>
      <x:c r="E208" s="1027"/>
      <x:c r="F208" s="1027"/>
      <x:c r="G208" s="1027"/>
      <x:c r="H208" s="1027"/>
      <x:c r="I208" s="1027"/>
      <x:c r="J208" s="1027"/>
      <x:c r="K208" s="1027"/>
      <x:c r="L208" s="1027"/>
    </x:row>
    <x:row r="209">
      <x:c r="A209" s="1027"/>
      <x:c r="B209" s="1027"/>
      <x:c r="C209" s="1027"/>
      <x:c r="D209" s="1027"/>
      <x:c r="E209" s="1027"/>
      <x:c r="F209" s="1027"/>
      <x:c r="G209" s="1027"/>
      <x:c r="H209" s="1027"/>
      <x:c r="I209" s="1027"/>
      <x:c r="J209" s="1027"/>
      <x:c r="K209" s="1027"/>
      <x:c r="L209" s="1027"/>
    </x:row>
  </x:sheetData>
  <x:mergeCells>
    <x:mergeCell ref="A1:L2"/>
    <x:mergeCell ref="A4:L4"/>
    <x:mergeCell ref="A207:L209"/>
  </x:mergeCell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3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52" hidden="0" customWidth="1"/>
  </x:cols>
  <x:sheetData>
    <x:row r="1">
      <x:c r="A1" s="4" t="str">
        <x:v>CATALOGUE DE STOCKAGE</x:v>
      </x:c>
      <x:c r="B1" s="4"/>
      <x:c r="C1" s="4"/>
      <x:c r="D1" s="4"/>
      <x:c r="E1" s="4"/>
      <x:c r="F1" s="4"/>
      <x:c r="G1" s="4"/>
      <x:c r="H1" s="4"/>
      <x:c r="I1" s="4"/>
      <x:c r="J1" s="4"/>
    </x:row>
    <x:row r="2">
      <x:c r="A2" s="4"/>
      <x:c r="B2" s="4"/>
      <x:c r="C2" s="4"/>
      <x:c r="D2" s="4"/>
      <x:c r="E2" s="4"/>
      <x:c r="F2" s="4"/>
      <x:c r="G2" s="4"/>
      <x:c r="H2" s="4"/>
      <x:c r="I2" s="4"/>
      <x:c r="J2" s="4"/>
    </x:row>
    <x:row r="3">
      <x:c r="A3" s="1"/>
      <x:c r="B3" s="1"/>
      <x:c r="C3" s="1"/>
      <x:c r="D3" s="1"/>
      <x:c r="E3" s="1"/>
      <x:c r="F3" s="1"/>
      <x:c r="G3" s="1"/>
      <x:c r="H3" s="1"/>
      <x:c r="I3" s="1"/>
      <x:c r="J3" s="1"/>
    </x:row>
    <x:row r="4">
      <x:c r="A4" s="1020" t="str">
        <x:v>39 références / configurations renseignées | Les capacités nominales et utiles restent distinctes. Sources fabricant liées en colonne J.</x:v>
      </x:c>
      <x:c r="B4" s="1020"/>
      <x:c r="C4" s="1020"/>
      <x:c r="D4" s="1020"/>
      <x:c r="E4" s="1020"/>
      <x:c r="F4" s="1020"/>
      <x:c r="G4" s="1020"/>
      <x:c r="H4" s="1020"/>
      <x:c r="I4" s="1020"/>
      <x:c r="J4" s="1020"/>
    </x:row>
    <x:row r="5" ht="32" customHeight="1">
      <x:c r="A5" s="1025" t="str">
        <x:v>SKU</x:v>
      </x:c>
      <x:c r="B5" s="1025" t="str">
        <x:v>Fabricant / modèle</x:v>
      </x:c>
      <x:c r="C5" s="1025" t="str">
        <x:v>Tension nominale (V)</x:v>
      </x:c>
      <x:c r="D5" s="1025" t="str">
        <x:v>Capacité nominale (kWh)</x:v>
      </x:c>
      <x:c r="E5" s="1025" t="str">
        <x:v>Capacité utile (kWh)</x:v>
      </x:c>
      <x:c r="F5" s="1025" t="str">
        <x:v>DoD max (fraction)</x:v>
      </x:c>
      <x:c r="G5" s="1025" t="str">
        <x:v>Courant continu max (A)</x:v>
      </x:c>
      <x:c r="H5" s="1025" t="str">
        <x:v>Modules max/string</x:v>
      </x:c>
      <x:c r="I5" s="1025" t="str">
        <x:v>Temp. charge min (°C)</x:v>
      </x:c>
      <x:c r="J5" s="1025" t="str">
        <x:v>Source fabricant</x:v>
      </x:c>
    </x:row>
    <x:row r="6" ht="42" customHeight="1">
      <x:c r="A6" s="1013" t="str">
        <x:v>US5000</x:v>
      </x:c>
      <x:c r="B6" s="1013" t="str">
        <x:v>Pylontech US5000 LiFePO₄</x:v>
      </x:c>
      <x:c r="C6" s="1013" t="n">
        <x:v>48</x:v>
      </x:c>
      <x:c r="D6" s="1013" t="n">
        <x:v>4.8</x:v>
      </x:c>
      <x:c r="E6" s="1013" t="n">
        <x:v>4.56</x:v>
      </x:c>
      <x:c r="F6" s="1013" t="n">
        <x:v>0.95</x:v>
      </x:c>
      <x:c r="G6" s="1013" t="n">
        <x:v>100</x:v>
      </x:c>
      <x:c r="H6" s="1013" t="n">
        <x:v>16</x:v>
      </x:c>
      <x:c r="I6" s="1013" t="n">
        <x:v>0</x:v>
      </x:c>
      <x:c r="J6" s="1013" t="str">
        <x:v>https://en.pylontech.com.cn/products/c23/134.html</x:v>
      </x:c>
    </x:row>
    <x:row r="7" ht="42" customHeight="1">
      <x:c r="A7" s="1021" t="str">
        <x:v>DL5.0C</x:v>
      </x:c>
      <x:c r="B7" s="1021" t="str">
        <x:v>Dyness DL5.0C LiFePO₄</x:v>
      </x:c>
      <x:c r="C7" s="1021" t="n">
        <x:v>51.2</x:v>
      </x:c>
      <x:c r="D7" s="1021" t="n">
        <x:v>5.12</x:v>
      </x:c>
      <x:c r="E7" s="1021" t="n">
        <x:v>4.608</x:v>
      </x:c>
      <x:c r="F7" s="1021" t="n">
        <x:v>0.9</x:v>
      </x:c>
      <x:c r="G7" s="1021" t="n">
        <x:v>100</x:v>
      </x:c>
      <x:c r="H7" s="1021" t="n">
        <x:v>50</x:v>
      </x:c>
      <x:c r="I7" s="1021" t="n">
        <x:v>0</x:v>
      </x:c>
      <x:c r="J7" s="1021" t="str">
        <x:v>https://dyness.com/Public/Uploads/uploadfile/files/20241023/DynessDL5.0CdatasheetEN.pdf</x:v>
      </x:c>
    </x:row>
    <x:row r="8" ht="42" customHeight="1">
      <x:c r="A8" s="1013" t="str">
        <x:v>BYD-LVS-4</x:v>
      </x:c>
      <x:c r="B8" s="1013" t="str">
        <x:v>BYD Battery-Box Premium LVS module 4.0</x:v>
      </x:c>
      <x:c r="C8" s="1013" t="n">
        <x:v>51.2</x:v>
      </x:c>
      <x:c r="D8" s="1013" t="n">
        <x:v>4</x:v>
      </x:c>
      <x:c r="E8" s="1013" t="n">
        <x:v>4</x:v>
      </x:c>
      <x:c r="F8" s="1013" t="n">
        <x:v>1</x:v>
      </x:c>
      <x:c r="G8" s="1013" t="n">
        <x:v>65</x:v>
      </x:c>
      <x:c r="H8" s="1013" t="n">
        <x:v>6</x:v>
      </x:c>
      <x:c r="I8" s="1013" t="n">
        <x:v>-10</x:v>
      </x:c>
      <x:c r="J8" s="1013" t="str">
        <x:v>https://bydbatterybox.com/uploads/downloads/201013_Premium_Datasheet_LVS%20V2.1%20EN-5fa4baa72098c.pdf</x:v>
      </x:c>
    </x:row>
    <x:row r="9" ht="42" customHeight="1">
      <x:c r="A9" s="1021" t="str">
        <x:v>Huawei-LUNA-5-E0</x:v>
      </x:c>
      <x:c r="B9" s="1021" t="str">
        <x:v>Huawei LUNA2000-5-E0 module (HV; Huawei compatible system required)</x:v>
      </x:c>
      <x:c r="C9" s="1021" t="n">
        <x:v>450</x:v>
      </x:c>
      <x:c r="D9" s="1021" t="n">
        <x:v>5</x:v>
      </x:c>
      <x:c r="E9" s="1021" t="n">
        <x:v>5</x:v>
      </x:c>
      <x:c r="F9" s="1021" t="n">
        <x:v>1</x:v>
      </x:c>
      <x:c r="G9" s="1021" t="n">
        <x:v>15</x:v>
      </x:c>
      <x:c r="H9" s="1021" t="n">
        <x:v>3</x:v>
      </x:c>
      <x:c r="I9" s="1021" t="n">
        <x:v>-20</x:v>
      </x:c>
      <x:c r="J9" s="1021" t="str">
        <x:v>https://solar.huawei.com/en/products/LUNA2000-5-10-15-S0/specs/</x:v>
      </x:c>
    </x:row>
    <x:row r="10" ht="42" customHeight="1">
      <x:c r="A10" s="1031" t="str">
        <x:v>AI-W5.1-Plus</x:v>
      </x:c>
      <x:c r="B10" s="1031" t="str">
        <x:v>Deye AI-W5.1-Plus — configuration 1 module(s), LiFePO₄</x:v>
      </x:c>
      <x:c r="C10" s="1031" t="n">
        <x:v>51.2</x:v>
      </x:c>
      <x:c r="D10" s="1031" t="n">
        <x:v>5.12</x:v>
      </x:c>
      <x:c r="E10" s="1031" t="n">
        <x:v>4.6</x:v>
      </x:c>
      <x:c r="F10" s="1031" t="n">
        <x:v>0.9</x:v>
      </x:c>
      <x:c r="G10" s="1031" t="n">
        <x:v>50</x:v>
      </x:c>
      <x:c r="H10" s="1031" t="n">
        <x:v>36</x:v>
      </x:c>
      <x:c r="I10" s="1031" t="n">
        <x:v>0</x:v>
      </x:c>
      <x:c r="J10" s="1018" t="str">
        <x:v>https://deyeess.com/product/ai-w5-1-ess-plus/</x:v>
      </x:c>
    </x:row>
    <x:row r="11" ht="42" customHeight="1">
      <x:c r="A11" s="1021" t="str">
        <x:v>AI-W10.2-Plus</x:v>
      </x:c>
      <x:c r="B11" s="1021" t="str">
        <x:v>Deye AI-W10.2-Plus — configuration 2 module(s), LiFePO₄</x:v>
      </x:c>
      <x:c r="C11" s="1021" t="n">
        <x:v>51.2</x:v>
      </x:c>
      <x:c r="D11" s="1021" t="n">
        <x:v>10.24</x:v>
      </x:c>
      <x:c r="E11" s="1021" t="n">
        <x:v>9.2</x:v>
      </x:c>
      <x:c r="F11" s="1021" t="n">
        <x:v>0.9</x:v>
      </x:c>
      <x:c r="G11" s="1021" t="n">
        <x:v>100</x:v>
      </x:c>
      <x:c r="H11" s="1021" t="n">
        <x:v>36</x:v>
      </x:c>
      <x:c r="I11" s="1021" t="n">
        <x:v>0</x:v>
      </x:c>
      <x:c r="J11" s="1021" t="str">
        <x:v>https://deyeess.com/product/ai-w5-1-ess-plus/</x:v>
      </x:c>
    </x:row>
    <x:row r="12" ht="42" customHeight="1">
      <x:c r="A12" s="1031" t="str">
        <x:v>AI-W15.3-Plus</x:v>
      </x:c>
      <x:c r="B12" s="1031" t="str">
        <x:v>Deye AI-W15.3-Plus — configuration 3 module(s), LiFePO₄</x:v>
      </x:c>
      <x:c r="C12" s="1031" t="n">
        <x:v>51.2</x:v>
      </x:c>
      <x:c r="D12" s="1031" t="n">
        <x:v>15.36</x:v>
      </x:c>
      <x:c r="E12" s="1031" t="n">
        <x:v>13.8</x:v>
      </x:c>
      <x:c r="F12" s="1031" t="n">
        <x:v>0.9</x:v>
      </x:c>
      <x:c r="G12" s="1031" t="n">
        <x:v>150</x:v>
      </x:c>
      <x:c r="H12" s="1031" t="n">
        <x:v>36</x:v>
      </x:c>
      <x:c r="I12" s="1031" t="n">
        <x:v>0</x:v>
      </x:c>
      <x:c r="J12" s="1018" t="str">
        <x:v>https://deyeess.com/product/ai-w5-1-ess-plus/</x:v>
      </x:c>
    </x:row>
    <x:row r="13" ht="42" customHeight="1">
      <x:c r="A13" s="1021" t="str">
        <x:v>AI-W20.4-Plus</x:v>
      </x:c>
      <x:c r="B13" s="1021" t="str">
        <x:v>Deye AI-W20.4-Plus — configuration 4 module(s), LiFePO₄</x:v>
      </x:c>
      <x:c r="C13" s="1021" t="n">
        <x:v>51.2</x:v>
      </x:c>
      <x:c r="D13" s="1021" t="n">
        <x:v>20.48</x:v>
      </x:c>
      <x:c r="E13" s="1021" t="n">
        <x:v>18.4</x:v>
      </x:c>
      <x:c r="F13" s="1021" t="n">
        <x:v>0.9</x:v>
      </x:c>
      <x:c r="G13" s="1021" t="n">
        <x:v>200</x:v>
      </x:c>
      <x:c r="H13" s="1021" t="n">
        <x:v>36</x:v>
      </x:c>
      <x:c r="I13" s="1021" t="n">
        <x:v>0</x:v>
      </x:c>
      <x:c r="J13" s="1021" t="str">
        <x:v>https://deyeess.com/product/ai-w5-1-ess-plus/</x:v>
      </x:c>
    </x:row>
    <x:row r="14" ht="42" customHeight="1">
      <x:c r="A14" s="1031" t="str">
        <x:v>AI-W25.6-Plus</x:v>
      </x:c>
      <x:c r="B14" s="1031" t="str">
        <x:v>Deye AI-W25.6-Plus — configuration 5 module(s), LiFePO₄</x:v>
      </x:c>
      <x:c r="C14" s="1031" t="n">
        <x:v>51.2</x:v>
      </x:c>
      <x:c r="D14" s="1031" t="n">
        <x:v>25.6</x:v>
      </x:c>
      <x:c r="E14" s="1031" t="n">
        <x:v>23</x:v>
      </x:c>
      <x:c r="F14" s="1031" t="n">
        <x:v>0.9</x:v>
      </x:c>
      <x:c r="G14" s="1031" t="n">
        <x:v>250</x:v>
      </x:c>
      <x:c r="H14" s="1031" t="n">
        <x:v>36</x:v>
      </x:c>
      <x:c r="I14" s="1031" t="n">
        <x:v>0</x:v>
      </x:c>
      <x:c r="J14" s="1018" t="str">
        <x:v>https://deyeess.com/product/ai-w5-1-ess-plus/</x:v>
      </x:c>
    </x:row>
    <x:row r="15" ht="42" customHeight="1">
      <x:c r="A15" s="1021" t="str">
        <x:v>AI-W30.7-Plus</x:v>
      </x:c>
      <x:c r="B15" s="1021" t="str">
        <x:v>Deye AI-W30.7-Plus — configuration 6 module(s), LiFePO₄</x:v>
      </x:c>
      <x:c r="C15" s="1021" t="n">
        <x:v>51.2</x:v>
      </x:c>
      <x:c r="D15" s="1021" t="n">
        <x:v>30.72</x:v>
      </x:c>
      <x:c r="E15" s="1021" t="n">
        <x:v>27.6</x:v>
      </x:c>
      <x:c r="F15" s="1021" t="n">
        <x:v>0.9</x:v>
      </x:c>
      <x:c r="G15" s="1021" t="n">
        <x:v>250</x:v>
      </x:c>
      <x:c r="H15" s="1021" t="n">
        <x:v>36</x:v>
      </x:c>
      <x:c r="I15" s="1021" t="n">
        <x:v>0</x:v>
      </x:c>
      <x:c r="J15" s="1021" t="str">
        <x:v>https://deyeess.com/product/ai-w5-1-ess-plus/</x:v>
      </x:c>
    </x:row>
    <x:row r="16" ht="42" customHeight="1">
      <x:c r="A16" s="1031" t="str">
        <x:v>BOS-G15</x:v>
      </x:c>
      <x:c r="B16" s="1031" t="str">
        <x:v>Deye BOS-G15 LiFePO₄ haute tension</x:v>
      </x:c>
      <x:c r="C16" s="1031" t="n">
        <x:v>153.6</x:v>
      </x:c>
      <x:c r="D16" s="1031" t="n">
        <x:v>15.36</x:v>
      </x:c>
      <x:c r="E16" s="1031" t="n">
        <x:v>13.82</x:v>
      </x:c>
      <x:c r="F16" s="1031" t="n">
        <x:v>0.9</x:v>
      </x:c>
      <x:c r="G16" s="1031" t="n">
        <x:v>100</x:v>
      </x:c>
      <x:c r="H16" s="1031" t="n">
        <x:v>10</x:v>
      </x:c>
      <x:c r="I16" s="1031" t="n">
        <x:v>0</x:v>
      </x:c>
      <x:c r="J16" s="1018" t="str">
        <x:v>https://deyeess.com/product/bos-g/</x:v>
      </x:c>
    </x:row>
    <x:row r="17" ht="42" customHeight="1">
      <x:c r="A17" s="1021" t="str">
        <x:v>BOS-G20</x:v>
      </x:c>
      <x:c r="B17" s="1021" t="str">
        <x:v>Deye BOS-G20 LiFePO₄ haute tension</x:v>
      </x:c>
      <x:c r="C17" s="1021" t="n">
        <x:v>204.8</x:v>
      </x:c>
      <x:c r="D17" s="1021" t="n">
        <x:v>20.48</x:v>
      </x:c>
      <x:c r="E17" s="1021" t="n">
        <x:v>18.43</x:v>
      </x:c>
      <x:c r="F17" s="1021" t="n">
        <x:v>0.9</x:v>
      </x:c>
      <x:c r="G17" s="1021" t="n">
        <x:v>100</x:v>
      </x:c>
      <x:c r="H17" s="1021" t="n">
        <x:v>10</x:v>
      </x:c>
      <x:c r="I17" s="1021" t="n">
        <x:v>0</x:v>
      </x:c>
      <x:c r="J17" s="1021" t="str">
        <x:v>https://deyeess.com/product/bos-g/</x:v>
      </x:c>
    </x:row>
    <x:row r="18" ht="42" customHeight="1">
      <x:c r="A18" s="1031" t="str">
        <x:v>BOS-G25</x:v>
      </x:c>
      <x:c r="B18" s="1031" t="str">
        <x:v>Deye BOS-G25 LiFePO₄ haute tension</x:v>
      </x:c>
      <x:c r="C18" s="1031" t="n">
        <x:v>256</x:v>
      </x:c>
      <x:c r="D18" s="1031" t="n">
        <x:v>25.6</x:v>
      </x:c>
      <x:c r="E18" s="1031" t="n">
        <x:v>23.04</x:v>
      </x:c>
      <x:c r="F18" s="1031" t="n">
        <x:v>0.9</x:v>
      </x:c>
      <x:c r="G18" s="1031" t="n">
        <x:v>100</x:v>
      </x:c>
      <x:c r="H18" s="1031" t="n">
        <x:v>10</x:v>
      </x:c>
      <x:c r="I18" s="1031" t="n">
        <x:v>0</x:v>
      </x:c>
      <x:c r="J18" s="1018" t="str">
        <x:v>https://deyeess.com/product/bos-g/</x:v>
      </x:c>
    </x:row>
    <x:row r="19" ht="42" customHeight="1">
      <x:c r="A19" s="1021" t="str">
        <x:v>BOS-G30</x:v>
      </x:c>
      <x:c r="B19" s="1021" t="str">
        <x:v>Deye BOS-G30 LiFePO₄ haute tension</x:v>
      </x:c>
      <x:c r="C19" s="1021" t="n">
        <x:v>307.2</x:v>
      </x:c>
      <x:c r="D19" s="1021" t="n">
        <x:v>30.72</x:v>
      </x:c>
      <x:c r="E19" s="1021" t="n">
        <x:v>27.64</x:v>
      </x:c>
      <x:c r="F19" s="1021" t="n">
        <x:v>0.9</x:v>
      </x:c>
      <x:c r="G19" s="1021" t="n">
        <x:v>100</x:v>
      </x:c>
      <x:c r="H19" s="1021" t="n">
        <x:v>10</x:v>
      </x:c>
      <x:c r="I19" s="1021" t="n">
        <x:v>0</x:v>
      </x:c>
      <x:c r="J19" s="1021" t="str">
        <x:v>https://deyeess.com/product/bos-g/</x:v>
      </x:c>
    </x:row>
    <x:row r="20" ht="42" customHeight="1">
      <x:c r="A20" s="1031" t="str">
        <x:v>BOS-G35</x:v>
      </x:c>
      <x:c r="B20" s="1031" t="str">
        <x:v>Deye BOS-G35 LiFePO₄ haute tension</x:v>
      </x:c>
      <x:c r="C20" s="1031" t="n">
        <x:v>358.4</x:v>
      </x:c>
      <x:c r="D20" s="1031" t="n">
        <x:v>35.84</x:v>
      </x:c>
      <x:c r="E20" s="1031" t="n">
        <x:v>32.25</x:v>
      </x:c>
      <x:c r="F20" s="1031" t="n">
        <x:v>0.9</x:v>
      </x:c>
      <x:c r="G20" s="1031" t="n">
        <x:v>100</x:v>
      </x:c>
      <x:c r="H20" s="1031" t="n">
        <x:v>10</x:v>
      </x:c>
      <x:c r="I20" s="1031" t="n">
        <x:v>0</x:v>
      </x:c>
      <x:c r="J20" s="1018" t="str">
        <x:v>https://deyeess.com/product/bos-g/</x:v>
      </x:c>
    </x:row>
    <x:row r="21" ht="42" customHeight="1">
      <x:c r="A21" s="1021" t="str">
        <x:v>BOS-G40</x:v>
      </x:c>
      <x:c r="B21" s="1021" t="str">
        <x:v>Deye BOS-G40 LiFePO₄ haute tension</x:v>
      </x:c>
      <x:c r="C21" s="1021" t="n">
        <x:v>409.6</x:v>
      </x:c>
      <x:c r="D21" s="1021" t="n">
        <x:v>40.96</x:v>
      </x:c>
      <x:c r="E21" s="1021" t="n">
        <x:v>36.86</x:v>
      </x:c>
      <x:c r="F21" s="1021" t="n">
        <x:v>0.9</x:v>
      </x:c>
      <x:c r="G21" s="1021" t="n">
        <x:v>100</x:v>
      </x:c>
      <x:c r="H21" s="1021" t="n">
        <x:v>10</x:v>
      </x:c>
      <x:c r="I21" s="1021" t="n">
        <x:v>0</x:v>
      </x:c>
      <x:c r="J21" s="1021" t="str">
        <x:v>https://deyeess.com/product/bos-g/</x:v>
      </x:c>
    </x:row>
    <x:row r="22" ht="42" customHeight="1">
      <x:c r="A22" s="1032" t="str">
        <x:v>BOS-G45</x:v>
      </x:c>
      <x:c r="B22" s="1032" t="str">
        <x:v>Deye BOS-G45 LiFePO₄ haute tension</x:v>
      </x:c>
      <x:c r="C22" s="1032" t="n">
        <x:v>460.8</x:v>
      </x:c>
      <x:c r="D22" s="1032" t="n">
        <x:v>46.08</x:v>
      </x:c>
      <x:c r="E22" s="1032" t="n">
        <x:v>41.47</x:v>
      </x:c>
      <x:c r="F22" s="1032" t="n">
        <x:v>0.9</x:v>
      </x:c>
      <x:c r="G22" s="1032" t="n">
        <x:v>100</x:v>
      </x:c>
      <x:c r="H22" s="1032" t="n">
        <x:v>10</x:v>
      </x:c>
      <x:c r="I22" s="1032" t="n">
        <x:v>0</x:v>
      </x:c>
      <x:c r="J22" s="1032" t="str">
        <x:v>https://deyeess.com/product/bos-g/</x:v>
      </x:c>
    </x:row>
    <x:row r="23" ht="42" customHeight="1">
      <x:c r="A23" s="1021" t="str">
        <x:v>BOS-G50</x:v>
      </x:c>
      <x:c r="B23" s="1021" t="str">
        <x:v>Deye BOS-G50 LiFePO₄ haute tension</x:v>
      </x:c>
      <x:c r="C23" s="1021" t="n">
        <x:v>512</x:v>
      </x:c>
      <x:c r="D23" s="1021" t="n">
        <x:v>51.2</x:v>
      </x:c>
      <x:c r="E23" s="1021" t="n">
        <x:v>46.08</x:v>
      </x:c>
      <x:c r="F23" s="1021" t="n">
        <x:v>0.9</x:v>
      </x:c>
      <x:c r="G23" s="1021" t="n">
        <x:v>100</x:v>
      </x:c>
      <x:c r="H23" s="1021" t="n">
        <x:v>10</x:v>
      </x:c>
      <x:c r="I23" s="1021" t="n">
        <x:v>0</x:v>
      </x:c>
      <x:c r="J23" s="1021" t="str">
        <x:v>https://deyeess.com/product/bos-g/</x:v>
      </x:c>
    </x:row>
    <x:row r="24" ht="42" customHeight="1">
      <x:c r="A24" s="1032" t="str">
        <x:v>BOS-G55</x:v>
      </x:c>
      <x:c r="B24" s="1032" t="str">
        <x:v>Deye BOS-G55 LiFePO₄ haute tension</x:v>
      </x:c>
      <x:c r="C24" s="1032" t="n">
        <x:v>563.2</x:v>
      </x:c>
      <x:c r="D24" s="1032" t="n">
        <x:v>56.32</x:v>
      </x:c>
      <x:c r="E24" s="1032" t="n">
        <x:v>50.68</x:v>
      </x:c>
      <x:c r="F24" s="1032" t="n">
        <x:v>0.9</x:v>
      </x:c>
      <x:c r="G24" s="1032" t="n">
        <x:v>100</x:v>
      </x:c>
      <x:c r="H24" s="1032" t="n">
        <x:v>10</x:v>
      </x:c>
      <x:c r="I24" s="1032" t="n">
        <x:v>0</x:v>
      </x:c>
      <x:c r="J24" s="1032" t="str">
        <x:v>https://deyeess.com/product/bos-g/</x:v>
      </x:c>
    </x:row>
    <x:row r="25" ht="42" customHeight="1">
      <x:c r="A25" s="1021" t="str">
        <x:v>BOS-G60</x:v>
      </x:c>
      <x:c r="B25" s="1021" t="str">
        <x:v>Deye BOS-G60 LiFePO₄ haute tension</x:v>
      </x:c>
      <x:c r="C25" s="1021" t="n">
        <x:v>614.4</x:v>
      </x:c>
      <x:c r="D25" s="1021" t="n">
        <x:v>61.44</x:v>
      </x:c>
      <x:c r="E25" s="1021" t="n">
        <x:v>55.29</x:v>
      </x:c>
      <x:c r="F25" s="1021" t="n">
        <x:v>0.9</x:v>
      </x:c>
      <x:c r="G25" s="1021" t="n">
        <x:v>100</x:v>
      </x:c>
      <x:c r="H25" s="1021" t="n">
        <x:v>10</x:v>
      </x:c>
      <x:c r="I25" s="1021" t="n">
        <x:v>0</x:v>
      </x:c>
      <x:c r="J25" s="1021" t="str">
        <x:v>https://deyeess.com/product/bos-g/</x:v>
      </x:c>
    </x:row>
    <x:row r="26" ht="42" customHeight="1">
      <x:c r="A26" s="1018" t="str">
        <x:v>WD-G24100</x:v>
      </x:c>
      <x:c r="B26" s="1018" t="str">
        <x:v>Deye WD-G24100 LiFePO₄ basse tension</x:v>
      </x:c>
      <x:c r="C26" s="1018" t="n">
        <x:v>12.8</x:v>
      </x:c>
      <x:c r="D26" s="1018" t="n">
        <x:v>1.28</x:v>
      </x:c>
      <x:c r="E26" s="1018" t="n">
        <x:v>1.1520000000000001</x:v>
      </x:c>
      <x:c r="F26" s="1018" t="n">
        <x:v>0.9</x:v>
      </x:c>
      <x:c r="G26" s="1018" t="n">
        <x:v>100</x:v>
      </x:c>
      <x:c r="H26" s="1018" t="n">
        <x:v>10</x:v>
      </x:c>
      <x:c r="I26" s="1018" t="n">
        <x:v>0</x:v>
      </x:c>
      <x:c r="J26" s="1018" t="str">
        <x:v>https://deyeess.com/product/wd-g/</x:v>
      </x:c>
    </x:row>
    <x:row r="27" ht="42" customHeight="1">
      <x:c r="A27" s="1021" t="str">
        <x:v>WD-G24200</x:v>
      </x:c>
      <x:c r="B27" s="1021" t="str">
        <x:v>Deye WD-G24200 LiFePO₄ basse tension</x:v>
      </x:c>
      <x:c r="C27" s="1021" t="n">
        <x:v>12.8</x:v>
      </x:c>
      <x:c r="D27" s="1021" t="n">
        <x:v>2.56</x:v>
      </x:c>
      <x:c r="E27" s="1021" t="n">
        <x:v>2.3040000000000003</x:v>
      </x:c>
      <x:c r="F27" s="1021" t="n">
        <x:v>0.9</x:v>
      </x:c>
      <x:c r="G27" s="1021" t="n">
        <x:v>200</x:v>
      </x:c>
      <x:c r="H27" s="1021" t="n">
        <x:v>10</x:v>
      </x:c>
      <x:c r="I27" s="1021" t="n">
        <x:v>0</x:v>
      </x:c>
      <x:c r="J27" s="1021" t="str">
        <x:v>https://deyeess.com/product/wd-g/</x:v>
      </x:c>
    </x:row>
    <x:row r="28" ht="42" customHeight="1">
      <x:c r="A28" s="1018" t="str">
        <x:v>Dyness-TP7</x:v>
      </x:c>
      <x:c r="B28" s="1018" t="str">
        <x:v>Dyness Tower Pro TP7 LiFePO₄ haute tension</x:v>
      </x:c>
      <x:c r="C28" s="1018" t="n">
        <x:v>192</x:v>
      </x:c>
      <x:c r="D28" s="1018" t="n">
        <x:v>7.68</x:v>
      </x:c>
      <x:c r="E28" s="1018" t="n">
        <x:v>7.296</x:v>
      </x:c>
      <x:c r="F28" s="1018" t="n">
        <x:v>0.95</x:v>
      </x:c>
      <x:c r="G28" s="1018" t="n">
        <x:v>40</x:v>
      </x:c>
      <x:c r="H28" s="1018" t="n">
        <x:v>12</x:v>
      </x:c>
      <x:c r="I28" s="1018" t="n">
        <x:v>0</x:v>
      </x:c>
      <x:c r="J28" s="1018" t="str">
        <x:v>https://dyness.com/Public/Uploads/uploadfile/files/20241227/TowerProDatasheet.pdf</x:v>
      </x:c>
    </x:row>
    <x:row r="29" ht="42" customHeight="1">
      <x:c r="A29" s="1021" t="str">
        <x:v>Dyness-TP11</x:v>
      </x:c>
      <x:c r="B29" s="1021" t="str">
        <x:v>Dyness Tower Pro TP11 LiFePO₄ haute tension</x:v>
      </x:c>
      <x:c r="C29" s="1021" t="n">
        <x:v>288</x:v>
      </x:c>
      <x:c r="D29" s="1021" t="n">
        <x:v>11.52</x:v>
      </x:c>
      <x:c r="E29" s="1021" t="n">
        <x:v>10.944</x:v>
      </x:c>
      <x:c r="F29" s="1021" t="n">
        <x:v>0.95</x:v>
      </x:c>
      <x:c r="G29" s="1021" t="n">
        <x:v>40</x:v>
      </x:c>
      <x:c r="H29" s="1021" t="n">
        <x:v>12</x:v>
      </x:c>
      <x:c r="I29" s="1021" t="n">
        <x:v>0</x:v>
      </x:c>
      <x:c r="J29" s="1021" t="str">
        <x:v>https://dyness.com/Public/Uploads/uploadfile/files/20241227/TowerProDatasheet.pdf</x:v>
      </x:c>
    </x:row>
    <x:row r="30" ht="42" customHeight="1">
      <x:c r="A30" s="1018" t="str">
        <x:v>Dyness-TP15</x:v>
      </x:c>
      <x:c r="B30" s="1018" t="str">
        <x:v>Dyness Tower Pro TP15 LiFePO₄ haute tension</x:v>
      </x:c>
      <x:c r="C30" s="1018" t="n">
        <x:v>384</x:v>
      </x:c>
      <x:c r="D30" s="1018" t="n">
        <x:v>15.36</x:v>
      </x:c>
      <x:c r="E30" s="1018" t="n">
        <x:v>14.592</x:v>
      </x:c>
      <x:c r="F30" s="1018" t="n">
        <x:v>0.95</x:v>
      </x:c>
      <x:c r="G30" s="1018" t="n">
        <x:v>40</x:v>
      </x:c>
      <x:c r="H30" s="1018" t="n">
        <x:v>12</x:v>
      </x:c>
      <x:c r="I30" s="1018" t="n">
        <x:v>0</x:v>
      </x:c>
      <x:c r="J30" s="1018" t="str">
        <x:v>https://dyness.com/Public/Uploads/uploadfile/files/20241227/TowerProDatasheet.pdf</x:v>
      </x:c>
    </x:row>
    <x:row r="31" ht="42" customHeight="1">
      <x:c r="A31" s="1021" t="str">
        <x:v>Dyness-TP19</x:v>
      </x:c>
      <x:c r="B31" s="1021" t="str">
        <x:v>Dyness Tower Pro TP19 LiFePO₄ haute tension</x:v>
      </x:c>
      <x:c r="C31" s="1021" t="n">
        <x:v>480</x:v>
      </x:c>
      <x:c r="D31" s="1021" t="n">
        <x:v>19.2</x:v>
      </x:c>
      <x:c r="E31" s="1021" t="n">
        <x:v>18.24</x:v>
      </x:c>
      <x:c r="F31" s="1021" t="n">
        <x:v>0.95</x:v>
      </x:c>
      <x:c r="G31" s="1021" t="n">
        <x:v>40</x:v>
      </x:c>
      <x:c r="H31" s="1021" t="n">
        <x:v>12</x:v>
      </x:c>
      <x:c r="I31" s="1021" t="n">
        <x:v>0</x:v>
      </x:c>
      <x:c r="J31" s="1021" t="str">
        <x:v>https://dyness.com/Public/Uploads/uploadfile/files/20241227/TowerProDatasheet.pdf</x:v>
      </x:c>
    </x:row>
    <x:row r="32" ht="42" customHeight="1">
      <x:c r="A32" s="1018" t="str">
        <x:v>Dyness-TP23</x:v>
      </x:c>
      <x:c r="B32" s="1018" t="str">
        <x:v>Dyness Tower Pro TP23 LiFePO₄ haute tension</x:v>
      </x:c>
      <x:c r="C32" s="1018" t="n">
        <x:v>576</x:v>
      </x:c>
      <x:c r="D32" s="1018" t="n">
        <x:v>23.04</x:v>
      </x:c>
      <x:c r="E32" s="1018" t="n">
        <x:v>21.888</x:v>
      </x:c>
      <x:c r="F32" s="1018" t="n">
        <x:v>0.95</x:v>
      </x:c>
      <x:c r="G32" s="1018" t="n">
        <x:v>40</x:v>
      </x:c>
      <x:c r="H32" s="1018" t="n">
        <x:v>12</x:v>
      </x:c>
      <x:c r="I32" s="1018" t="n">
        <x:v>0</x:v>
      </x:c>
      <x:c r="J32" s="1018" t="str">
        <x:v>https://dyness.com/Public/Uploads/uploadfile/files/20241227/TowerProDatasheet.pdf</x:v>
      </x:c>
    </x:row>
    <x:row r="33" ht="42" customHeight="1">
      <x:c r="A33" s="1021" t="str">
        <x:v>Huawei-LUNA-S0-5</x:v>
      </x:c>
      <x:c r="B33" s="1021" t="str">
        <x:v>Huawei LUNA2000-5-S0 — système</x:v>
      </x:c>
      <x:c r="C33" s="1021" t="n">
        <x:v>450</x:v>
      </x:c>
      <x:c r="D33" s="1021" t="n">
        <x:v>5</x:v>
      </x:c>
      <x:c r="E33" s="1021" t="n">
        <x:v>5</x:v>
      </x:c>
      <x:c r="F33" s="1021" t="n">
        <x:v>1</x:v>
      </x:c>
      <x:c r="G33" s="1021" t="n">
        <x:v>7.142857142857143</x:v>
      </x:c>
      <x:c r="H33" s="1021" t="n">
        <x:v>4</x:v>
      </x:c>
      <x:c r="I33" s="1021" t="n">
        <x:v>0</x:v>
      </x:c>
      <x:c r="J33" s="1021" t="str">
        <x:v>https://solar.huawei.com/en/products/LUNA2000-5-10-15-S0/specs/</x:v>
      </x:c>
    </x:row>
    <x:row r="34" ht="42" customHeight="1">
      <x:c r="A34" s="1018" t="str">
        <x:v>Huawei-LUNA-S0-10</x:v>
      </x:c>
      <x:c r="B34" s="1018" t="str">
        <x:v>Huawei LUNA2000-10-S0 — système</x:v>
      </x:c>
      <x:c r="C34" s="1018" t="n">
        <x:v>450</x:v>
      </x:c>
      <x:c r="D34" s="1018" t="n">
        <x:v>10</x:v>
      </x:c>
      <x:c r="E34" s="1018" t="n">
        <x:v>10</x:v>
      </x:c>
      <x:c r="F34" s="1018" t="n">
        <x:v>1</x:v>
      </x:c>
      <x:c r="G34" s="1018" t="n">
        <x:v>14.285714285714286</x:v>
      </x:c>
      <x:c r="H34" s="1018" t="n">
        <x:v>4</x:v>
      </x:c>
      <x:c r="I34" s="1018" t="n">
        <x:v>0</x:v>
      </x:c>
      <x:c r="J34" s="1018" t="str">
        <x:v>https://solar.huawei.com/en/products/LUNA2000-5-10-15-S0/specs/</x:v>
      </x:c>
    </x:row>
    <x:row r="35" ht="42" customHeight="1">
      <x:c r="A35" s="1021" t="str">
        <x:v>Huawei-LUNA-S0-15</x:v>
      </x:c>
      <x:c r="B35" s="1021" t="str">
        <x:v>Huawei LUNA2000-15-S0 — système</x:v>
      </x:c>
      <x:c r="C35" s="1021" t="n">
        <x:v>450</x:v>
      </x:c>
      <x:c r="D35" s="1021" t="n">
        <x:v>15</x:v>
      </x:c>
      <x:c r="E35" s="1021" t="n">
        <x:v>15</x:v>
      </x:c>
      <x:c r="F35" s="1021" t="n">
        <x:v>1</x:v>
      </x:c>
      <x:c r="G35" s="1021" t="n">
        <x:v>14.285714285714286</x:v>
      </x:c>
      <x:c r="H35" s="1021" t="n">
        <x:v>4</x:v>
      </x:c>
      <x:c r="I35" s="1021" t="n">
        <x:v>0</x:v>
      </x:c>
      <x:c r="J35" s="1021" t="str">
        <x:v>https://solar.huawei.com/en/products/LUNA2000-5-10-15-S0/specs/</x:v>
      </x:c>
    </x:row>
    <x:row r="36" ht="42" customHeight="1">
      <x:c r="A36" s="1018" t="str">
        <x:v>Huawei-LUNA-S1-5</x:v>
      </x:c>
      <x:c r="B36" s="1018" t="str">
        <x:v>Huawei LUNA2000 5 kWh — configuration S1</x:v>
      </x:c>
      <x:c r="C36" s="1018" t="n">
        <x:v>450</x:v>
      </x:c>
      <x:c r="D36" s="1018" t="n">
        <x:v>5</x:v>
      </x:c>
      <x:c r="E36" s="1018" t="n">
        <x:v>5</x:v>
      </x:c>
      <x:c r="F36" s="1018" t="n">
        <x:v>1</x:v>
      </x:c>
      <x:c r="G36" s="1018" t="n">
        <x:v>10</x:v>
      </x:c>
      <x:c r="H36" s="1018" t="n">
        <x:v>4</x:v>
      </x:c>
      <x:c r="I36" s="1018" t="n">
        <x:v>0</x:v>
      </x:c>
      <x:c r="J36" s="1018" t="str">
        <x:v>https://solar.huawei.com/ie/products/LUNA2000-7-14-21-S1/specs/</x:v>
      </x:c>
    </x:row>
    <x:row r="37" ht="42" customHeight="1">
      <x:c r="A37" s="1021" t="str">
        <x:v>Huawei-LUNA-S1-6_9</x:v>
      </x:c>
      <x:c r="B37" s="1021" t="str">
        <x:v>Huawei LUNA2000 6.9 kWh — configuration S1</x:v>
      </x:c>
      <x:c r="C37" s="1021" t="n">
        <x:v>450</x:v>
      </x:c>
      <x:c r="D37" s="1021" t="n">
        <x:v>6.9</x:v>
      </x:c>
      <x:c r="E37" s="1021" t="n">
        <x:v>6.9</x:v>
      </x:c>
      <x:c r="F37" s="1021" t="n">
        <x:v>1</x:v>
      </x:c>
      <x:c r="G37" s="1021" t="n">
        <x:v>10</x:v>
      </x:c>
      <x:c r="H37" s="1021" t="n">
        <x:v>4</x:v>
      </x:c>
      <x:c r="I37" s="1021" t="n">
        <x:v>0</x:v>
      </x:c>
      <x:c r="J37" s="1021" t="str">
        <x:v>https://solar.huawei.com/ie/products/LUNA2000-7-14-21-S1/specs/</x:v>
      </x:c>
    </x:row>
    <x:row r="38" ht="42" customHeight="1">
      <x:c r="A38" s="1018" t="str">
        <x:v>Huawei-LUNA-S1-10</x:v>
      </x:c>
      <x:c r="B38" s="1018" t="str">
        <x:v>Huawei LUNA2000 10 kWh — configuration S1</x:v>
      </x:c>
      <x:c r="C38" s="1018" t="n">
        <x:v>450</x:v>
      </x:c>
      <x:c r="D38" s="1018" t="n">
        <x:v>10</x:v>
      </x:c>
      <x:c r="E38" s="1018" t="n">
        <x:v>10</x:v>
      </x:c>
      <x:c r="F38" s="1018" t="n">
        <x:v>1</x:v>
      </x:c>
      <x:c r="G38" s="1018" t="n">
        <x:v>20</x:v>
      </x:c>
      <x:c r="H38" s="1018" t="n">
        <x:v>4</x:v>
      </x:c>
      <x:c r="I38" s="1018" t="n">
        <x:v>0</x:v>
      </x:c>
      <x:c r="J38" s="1018" t="str">
        <x:v>https://solar.huawei.com/ie/products/LUNA2000-7-14-21-S1/specs/</x:v>
      </x:c>
    </x:row>
    <x:row r="39" ht="42" customHeight="1">
      <x:c r="A39" s="1021" t="str">
        <x:v>Huawei-LUNA-S1-11_9</x:v>
      </x:c>
      <x:c r="B39" s="1021" t="str">
        <x:v>Huawei LUNA2000 11.9 kWh — configuration S1</x:v>
      </x:c>
      <x:c r="C39" s="1021" t="n">
        <x:v>450</x:v>
      </x:c>
      <x:c r="D39" s="1021" t="n">
        <x:v>11.9</x:v>
      </x:c>
      <x:c r="E39" s="1021" t="n">
        <x:v>11.9</x:v>
      </x:c>
      <x:c r="F39" s="1021" t="n">
        <x:v>1</x:v>
      </x:c>
      <x:c r="G39" s="1021" t="n">
        <x:v>20</x:v>
      </x:c>
      <x:c r="H39" s="1021" t="n">
        <x:v>4</x:v>
      </x:c>
      <x:c r="I39" s="1021" t="n">
        <x:v>0</x:v>
      </x:c>
      <x:c r="J39" s="1021" t="str">
        <x:v>https://solar.huawei.com/ie/products/LUNA2000-7-14-21-S1/specs/</x:v>
      </x:c>
    </x:row>
    <x:row r="40" ht="42" customHeight="1">
      <x:c r="A40" s="1018" t="str">
        <x:v>Huawei-LUNA-S1-13_8</x:v>
      </x:c>
      <x:c r="B40" s="1018" t="str">
        <x:v>Huawei LUNA2000 13.8 kWh — configuration S1</x:v>
      </x:c>
      <x:c r="C40" s="1018" t="n">
        <x:v>450</x:v>
      </x:c>
      <x:c r="D40" s="1018" t="n">
        <x:v>13.8</x:v>
      </x:c>
      <x:c r="E40" s="1018" t="n">
        <x:v>13.8</x:v>
      </x:c>
      <x:c r="F40" s="1018" t="n">
        <x:v>1</x:v>
      </x:c>
      <x:c r="G40" s="1018" t="n">
        <x:v>20</x:v>
      </x:c>
      <x:c r="H40" s="1018" t="n">
        <x:v>4</x:v>
      </x:c>
      <x:c r="I40" s="1018" t="n">
        <x:v>0</x:v>
      </x:c>
      <x:c r="J40" s="1018" t="str">
        <x:v>https://solar.huawei.com/ie/products/LUNA2000-7-14-21-S1/specs/</x:v>
      </x:c>
    </x:row>
    <x:row r="41" ht="42" customHeight="1">
      <x:c r="A41" s="1021" t="str">
        <x:v>Huawei-LUNA-S1-15</x:v>
      </x:c>
      <x:c r="B41" s="1021" t="str">
        <x:v>Huawei LUNA2000 15 kWh — configuration S1</x:v>
      </x:c>
      <x:c r="C41" s="1021" t="n">
        <x:v>450</x:v>
      </x:c>
      <x:c r="D41" s="1021" t="n">
        <x:v>15</x:v>
      </x:c>
      <x:c r="E41" s="1021" t="n">
        <x:v>15</x:v>
      </x:c>
      <x:c r="F41" s="1021" t="n">
        <x:v>1</x:v>
      </x:c>
      <x:c r="G41" s="1021" t="n">
        <x:v>30</x:v>
      </x:c>
      <x:c r="H41" s="1021" t="n">
        <x:v>4</x:v>
      </x:c>
      <x:c r="I41" s="1021" t="n">
        <x:v>0</x:v>
      </x:c>
      <x:c r="J41" s="1021" t="str">
        <x:v>https://solar.huawei.com/ie/products/LUNA2000-7-14-21-S1/specs/</x:v>
      </x:c>
    </x:row>
    <x:row r="42" ht="42" customHeight="1">
      <x:c r="A42" s="1018" t="str">
        <x:v>Huawei-LUNA-S1-16_9</x:v>
      </x:c>
      <x:c r="B42" s="1018" t="str">
        <x:v>Huawei LUNA2000 16.9 kWh — configuration S1</x:v>
      </x:c>
      <x:c r="C42" s="1018" t="n">
        <x:v>450</x:v>
      </x:c>
      <x:c r="D42" s="1018" t="n">
        <x:v>16.9</x:v>
      </x:c>
      <x:c r="E42" s="1018" t="n">
        <x:v>16.9</x:v>
      </x:c>
      <x:c r="F42" s="1018" t="n">
        <x:v>1</x:v>
      </x:c>
      <x:c r="G42" s="1018" t="n">
        <x:v>30</x:v>
      </x:c>
      <x:c r="H42" s="1018" t="n">
        <x:v>4</x:v>
      </x:c>
      <x:c r="I42" s="1018" t="n">
        <x:v>0</x:v>
      </x:c>
      <x:c r="J42" s="1018" t="str">
        <x:v>https://solar.huawei.com/ie/products/LUNA2000-7-14-21-S1/specs/</x:v>
      </x:c>
    </x:row>
    <x:row r="43" ht="42" customHeight="1">
      <x:c r="A43" s="1021" t="str">
        <x:v>Huawei-LUNA-S1-18_8</x:v>
      </x:c>
      <x:c r="B43" s="1021" t="str">
        <x:v>Huawei LUNA2000 18.8 kWh — configuration S1</x:v>
      </x:c>
      <x:c r="C43" s="1021" t="n">
        <x:v>450</x:v>
      </x:c>
      <x:c r="D43" s="1021" t="n">
        <x:v>18.8</x:v>
      </x:c>
      <x:c r="E43" s="1021" t="n">
        <x:v>18.8</x:v>
      </x:c>
      <x:c r="F43" s="1021" t="n">
        <x:v>1</x:v>
      </x:c>
      <x:c r="G43" s="1021" t="n">
        <x:v>30</x:v>
      </x:c>
      <x:c r="H43" s="1021" t="n">
        <x:v>4</x:v>
      </x:c>
      <x:c r="I43" s="1021" t="n">
        <x:v>0</x:v>
      </x:c>
      <x:c r="J43" s="1021" t="str">
        <x:v>https://solar.huawei.com/ie/products/LUNA2000-7-14-21-S1/specs/</x:v>
      </x:c>
    </x:row>
    <x:row r="44" ht="42" customHeight="1">
      <x:c r="A44" s="1018" t="str">
        <x:v>Huawei-LUNA-S1-20_7</x:v>
      </x:c>
      <x:c r="B44" s="1018" t="str">
        <x:v>Huawei LUNA2000 20.7 kWh — configuration S1</x:v>
      </x:c>
      <x:c r="C44" s="1018" t="n">
        <x:v>450</x:v>
      </x:c>
      <x:c r="D44" s="1018" t="n">
        <x:v>20.7</x:v>
      </x:c>
      <x:c r="E44" s="1018" t="n">
        <x:v>20.7</x:v>
      </x:c>
      <x:c r="F44" s="1018" t="n">
        <x:v>1</x:v>
      </x:c>
      <x:c r="G44" s="1018" t="n">
        <x:v>30</x:v>
      </x:c>
      <x:c r="H44" s="1018" t="n">
        <x:v>4</x:v>
      </x:c>
      <x:c r="I44" s="1018" t="n">
        <x:v>0</x:v>
      </x:c>
      <x:c r="J44" s="1018" t="str">
        <x:v>https://solar.huawei.com/ie/products/LUNA2000-7-14-21-S1/specs/</x:v>
      </x:c>
    </x:row>
    <x:row r="207">
      <x:c r="A207" s="1036" t="str">
        <x:v>Les références Deye AI-W sont des configurations basse tension en parallèle; BOS-G est une gamme haute tension avec modules en série. Ces deux architectures ne sont pas interchangeables. Contrôler tension de fonctionnement, BMS, courant, câblage et compatibilité de l’onduleur sur la documentation du fabricant.</x:v>
      </x:c>
      <x:c r="B207" s="1036"/>
      <x:c r="C207" s="1036"/>
      <x:c r="D207" s="1036"/>
      <x:c r="E207" s="1036"/>
      <x:c r="F207" s="1036"/>
      <x:c r="G207" s="1036"/>
      <x:c r="H207" s="1036"/>
      <x:c r="I207" s="1036"/>
      <x:c r="J207" s="1036"/>
    </x:row>
    <x:row r="208">
      <x:c r="A208" s="1036"/>
      <x:c r="B208" s="1036"/>
      <x:c r="C208" s="1036"/>
      <x:c r="D208" s="1036"/>
      <x:c r="E208" s="1036"/>
      <x:c r="F208" s="1036"/>
      <x:c r="G208" s="1036"/>
      <x:c r="H208" s="1036"/>
      <x:c r="I208" s="1036"/>
      <x:c r="J208" s="1036"/>
    </x:row>
    <x:row r="209">
      <x:c r="A209" s="1036"/>
      <x:c r="B209" s="1036"/>
      <x:c r="C209" s="1036"/>
      <x:c r="D209" s="1036"/>
      <x:c r="E209" s="1036"/>
      <x:c r="F209" s="1036"/>
      <x:c r="G209" s="1036"/>
      <x:c r="H209" s="1036"/>
      <x:c r="I209" s="1036"/>
      <x:c r="J209" s="1036"/>
    </x:row>
  </x:sheetData>
  <x:mergeCells>
    <x:mergeCell ref="A1:J2"/>
    <x:mergeCell ref="A4:J4"/>
    <x:mergeCell ref="A207:J209"/>
  </x:mergeCells>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8" hidden="0" customWidth="1"/>
    <x:col min="3" max="3" width="34" hidden="0" customWidth="1"/>
    <x:col min="4" max="4" width="18" hidden="0" customWidth="1"/>
    <x:col min="5" max="5" width="18" hidden="0" customWidth="1"/>
    <x:col min="6" max="6" width="25" hidden="0" customWidth="1"/>
    <x:col min="7" max="7" width="25" hidden="0" customWidth="1"/>
    <x:col min="8" max="8" width="18" hidden="0" customWidth="1"/>
    <x:col min="9" max="9" width="56" hidden="0" customWidth="1"/>
    <x:col min="10" max="10" width="18" hidden="0" customWidth="1"/>
    <x:col min="11" max="11" width="23" hidden="0" customWidth="1"/>
    <x:col min="12" max="12" width="23" hidden="0" customWidth="1"/>
    <x:col min="13" max="13" width="23" hidden="0" customWidth="1"/>
  </x:cols>
  <x:sheetData>
    <x:row r="1">
      <x:c r="A1" s="4" t="str">
        <x:v>CATALOGUE DE CONVERSION</x:v>
      </x:c>
      <x:c r="B1" s="4"/>
      <x:c r="C1" s="4"/>
      <x:c r="D1" s="4"/>
      <x:c r="E1" s="4"/>
      <x:c r="F1" s="4"/>
      <x:c r="G1" s="4"/>
      <x:c r="H1" s="4"/>
      <x:c r="I1" s="4"/>
    </x:row>
    <x:row r="2">
      <x:c r="A2" s="4"/>
      <x:c r="B2" s="4"/>
      <x:c r="C2" s="4"/>
      <x:c r="D2" s="4"/>
      <x:c r="E2" s="4"/>
      <x:c r="F2" s="4"/>
      <x:c r="G2" s="4"/>
      <x:c r="H2" s="4"/>
      <x:c r="I2" s="4"/>
    </x:row>
    <x:row r="3">
      <x:c r="A3" s="1"/>
      <x:c r="B3" s="1"/>
      <x:c r="C3" s="1"/>
      <x:c r="D3" s="1"/>
      <x:c r="E3" s="1"/>
      <x:c r="F3" s="1"/>
      <x:c r="G3" s="1"/>
      <x:c r="H3" s="1"/>
      <x:c r="I3" s="1"/>
    </x:row>
    <x:row r="4">
      <x:c r="A4" s="1020" t="str">
        <x:v>37 onduleurs renseignés, dont hybrides et raccordés réseau | 10 régulateurs MPPT. Données fabricant en colonne I; champ de sélection limité aux fiches renseignées.</x:v>
      </x:c>
      <x:c r="B4" s="1020"/>
      <x:c r="C4" s="1020"/>
      <x:c r="D4" s="1020"/>
      <x:c r="E4" s="1020"/>
      <x:c r="F4" s="1020"/>
      <x:c r="G4" s="1020"/>
      <x:c r="H4" s="1020"/>
      <x:c r="I4" s="1020"/>
    </x:row>
    <x:row r="5" ht="32" customHeight="1">
      <x:c r="A5" s="1025" t="str">
        <x:v>SKU</x:v>
      </x:c>
      <x:c r="B5" s="1025" t="str">
        <x:v>Type</x:v>
      </x:c>
      <x:c r="C5" s="1025" t="str">
        <x:v>Modèle</x:v>
      </x:c>
      <x:c r="D5" s="1025" t="str">
        <x:v>V batterie min (V)</x:v>
      </x:c>
      <x:c r="E5" s="1025" t="str">
        <x:v>V batterie max (V)</x:v>
      </x:c>
      <x:c r="F5" s="1025" t="str">
        <x:v>Puissance PV conseillée / AC continue (W)</x:v>
      </x:c>
      <x:c r="G5" s="1025" t="str">
        <x:v>Vdc max PV / puissance crête (V/W)</x:v>
      </x:c>
      <x:c r="H5" s="1025" t="str">
        <x:v>Courant charge/décharge (A)</x:v>
      </x:c>
      <x:c r="I5" s="1025" t="str">
        <x:v>Source fabricant</x:v>
      </x:c>
      <x:c r="J5" s="1025" t="str">
        <x:v>Famille auto</x:v>
      </x:c>
      <x:c r="K5" s="1025" t="str">
        <x:v>Puissance modèle (W)</x:v>
      </x:c>
      <x:c r="L5" s="1025" t="str">
        <x:v>Puissance ≥ besoin (W)</x:v>
      </x:c>
      <x:c r="M5" s="1025" t="str">
        <x:v>Parallèle AC certifié ?</x:v>
      </x:c>
    </x:row>
    <x:row r="6" ht="40" customHeight="1">
      <x:c r="A6" s="1013" t="str">
        <x:v>Victron-150-70</x:v>
      </x:c>
      <x:c r="B6" s="1013" t="str">
        <x:v>MPPT</x:v>
      </x:c>
      <x:c r="C6" s="1013" t="str">
        <x:v>SmartSolar 150/70</x:v>
      </x:c>
      <x:c r="D6" s="1013" t="n">
        <x:v>12</x:v>
      </x:c>
      <x:c r="E6" s="1013" t="n">
        <x:v>48</x:v>
      </x:c>
      <x:c r="F6" s="1013" t="n">
        <x:v>4000</x:v>
      </x:c>
      <x:c r="G6" s="1013" t="n">
        <x:v>150</x:v>
      </x:c>
      <x:c r="H6" s="1013" t="n">
        <x:v>70</x:v>
      </x:c>
      <x:c r="I6" s="1013" t="str">
        <x:v>https://www.victronenergy.com/media/pg/Manual_SmartSolar_MPPT_150-70_up_to_250-100_VE.Can/en/technical-specifications.html</x:v>
      </x:c>
    </x:row>
    <x:row r="7" ht="40" customHeight="1">
      <x:c r="A7" s="1021" t="str">
        <x:v>Victron-150-85</x:v>
      </x:c>
      <x:c r="B7" s="1021" t="str">
        <x:v>MPPT</x:v>
      </x:c>
      <x:c r="C7" s="1021" t="str">
        <x:v>SmartSolar 150/85</x:v>
      </x:c>
      <x:c r="D7" s="1021" t="n">
        <x:v>12</x:v>
      </x:c>
      <x:c r="E7" s="1021" t="n">
        <x:v>48</x:v>
      </x:c>
      <x:c r="F7" s="1021" t="n">
        <x:v>4900</x:v>
      </x:c>
      <x:c r="G7" s="1021" t="n">
        <x:v>150</x:v>
      </x:c>
      <x:c r="H7" s="1021" t="n">
        <x:v>85</x:v>
      </x:c>
      <x:c r="I7" s="1021" t="str">
        <x:v>https://www.victronenergy.com/media/pg/Manual_SmartSolar_MPPT_150-70_up_to_250-100_VE.Can/en/technical-specifications.html</x:v>
      </x:c>
    </x:row>
    <x:row r="8" ht="40" customHeight="1">
      <x:c r="A8" s="1013" t="str">
        <x:v>Victron-150-100</x:v>
      </x:c>
      <x:c r="B8" s="1013" t="str">
        <x:v>MPPT</x:v>
      </x:c>
      <x:c r="C8" s="1013" t="str">
        <x:v>SmartSolar 150/100</x:v>
      </x:c>
      <x:c r="D8" s="1013" t="n">
        <x:v>12</x:v>
      </x:c>
      <x:c r="E8" s="1013" t="n">
        <x:v>48</x:v>
      </x:c>
      <x:c r="F8" s="1013" t="n">
        <x:v>5800</x:v>
      </x:c>
      <x:c r="G8" s="1013" t="n">
        <x:v>150</x:v>
      </x:c>
      <x:c r="H8" s="1013" t="n">
        <x:v>100</x:v>
      </x:c>
      <x:c r="I8" s="1013" t="str">
        <x:v>https://www.victronenergy.com/media/pg/Manual_SmartSolar_MPPT_150-70_up_to_250-100_VE.Can/en/technical-specifications.html</x:v>
      </x:c>
    </x:row>
    <x:row r="9" ht="40" customHeight="1">
      <x:c r="A9" s="1021" t="str">
        <x:v>Victron-250-70</x:v>
      </x:c>
      <x:c r="B9" s="1021" t="str">
        <x:v>MPPT</x:v>
      </x:c>
      <x:c r="C9" s="1021" t="str">
        <x:v>SmartSolar 250/70</x:v>
      </x:c>
      <x:c r="D9" s="1021" t="n">
        <x:v>12</x:v>
      </x:c>
      <x:c r="E9" s="1021" t="n">
        <x:v>48</x:v>
      </x:c>
      <x:c r="F9" s="1021" t="n">
        <x:v>4000</x:v>
      </x:c>
      <x:c r="G9" s="1021" t="n">
        <x:v>250</x:v>
      </x:c>
      <x:c r="H9" s="1021" t="n">
        <x:v>70</x:v>
      </x:c>
      <x:c r="I9" s="1021" t="str">
        <x:v>https://www.victronenergy.com/media/pg/Manual_SmartSolar_MPPT_150-70_up_to_250-100_VE.Can/en/technical-specifications.html</x:v>
      </x:c>
    </x:row>
    <x:row r="10" ht="40" customHeight="1">
      <x:c r="A10" s="1013" t="str">
        <x:v>Victron-250-85</x:v>
      </x:c>
      <x:c r="B10" s="1013" t="str">
        <x:v>MPPT</x:v>
      </x:c>
      <x:c r="C10" s="1013" t="str">
        <x:v>SmartSolar 250/85</x:v>
      </x:c>
      <x:c r="D10" s="1013" t="n">
        <x:v>12</x:v>
      </x:c>
      <x:c r="E10" s="1013" t="n">
        <x:v>48</x:v>
      </x:c>
      <x:c r="F10" s="1013" t="n">
        <x:v>4900</x:v>
      </x:c>
      <x:c r="G10" s="1013" t="n">
        <x:v>250</x:v>
      </x:c>
      <x:c r="H10" s="1013" t="n">
        <x:v>85</x:v>
      </x:c>
      <x:c r="I10" s="1013" t="str">
        <x:v>https://www.victronenergy.com/media/pg/Manual_SmartSolar_MPPT_150-70_up_to_250-100_VE.Can/en/technical-specifications.html</x:v>
      </x:c>
    </x:row>
    <x:row r="11" ht="40" customHeight="1">
      <x:c r="A11" s="1021" t="str">
        <x:v>Victron-250-100</x:v>
      </x:c>
      <x:c r="B11" s="1021" t="str">
        <x:v>MPPT</x:v>
      </x:c>
      <x:c r="C11" s="1021" t="str">
        <x:v>SmartSolar 250/100</x:v>
      </x:c>
      <x:c r="D11" s="1021" t="n">
        <x:v>12</x:v>
      </x:c>
      <x:c r="E11" s="1021" t="n">
        <x:v>48</x:v>
      </x:c>
      <x:c r="F11" s="1021" t="n">
        <x:v>5800</x:v>
      </x:c>
      <x:c r="G11" s="1021" t="n">
        <x:v>250</x:v>
      </x:c>
      <x:c r="H11" s="1021" t="n">
        <x:v>100</x:v>
      </x:c>
      <x:c r="I11" s="1021" t="str">
        <x:v>https://www.victronenergy.com/media/pg/Manual_SmartSolar_MPPT_150-70_up_to_250-100_VE.Can/en/technical-specifications.html</x:v>
      </x:c>
    </x:row>
    <x:row r="12" ht="40" customHeight="1">
      <x:c r="A12" s="1013" t="str">
        <x:v>MultiPlus-II-48-3000</x:v>
      </x:c>
      <x:c r="B12" s="1013" t="str">
        <x:v>Onduleur/chargeur hybride</x:v>
      </x:c>
      <x:c r="C12" s="1013" t="str">
        <x:v>MultiPlus-II 48/3000/35-32 230V</x:v>
      </x:c>
      <x:c r="D12" s="1013" t="n">
        <x:v>38</x:v>
      </x:c>
      <x:c r="E12" s="1013" t="n">
        <x:v>66</x:v>
      </x:c>
      <x:c r="F12" s="1013" t="n">
        <x:v>2400</x:v>
      </x:c>
      <x:c r="G12" s="1013" t="n">
        <x:v>5500</x:v>
      </x:c>
      <x:c r="H12" s="1013" t="n">
        <x:v>35</x:v>
      </x:c>
      <x:c r="I12" s="1013" t="str">
        <x:v>https://www.victronenergy.com/media/pg/MultiPlus-II_230V/en/technical-specifications-mp-ii-230v.html</x:v>
      </x:c>
      <x:c r="J12" s="1005" t="str">
        <x:f>IF(AND(LEFT(B12,8)="Onduleur",IF(OR(D12="",E12=""),'Projet'!B7="Raccordé réseau",AND('Projet'!B13&gt;=D12,'Projet'!B13&lt;=E12))),"Onduleur","")</x:f>
        <x:v>Onduleur</x:v>
      </x:c>
      <x:c r="K12" s="1005" t="n">
        <x:f>IF(J12="Onduleur",F12,"")</x:f>
        <x:v>2400</x:v>
      </x:c>
      <x:c r="L12" s="1005" t="str">
        <x:f>IF(AND(J12="Onduleur",F12&gt;='Calculs'!$B$19),F12,"")</x:f>
      </x:c>
      <x:c r="M12" s="1005" t="str">
        <x:v>À confirmer fabricant</x:v>
      </x:c>
    </x:row>
    <x:row r="13" ht="40" customHeight="1">
      <x:c r="A13" s="1021" t="str">
        <x:v>MultiPlus-II-48-5000</x:v>
      </x:c>
      <x:c r="B13" s="1021" t="str">
        <x:v>Onduleur/chargeur hybride</x:v>
      </x:c>
      <x:c r="C13" s="1021" t="str">
        <x:v>MultiPlus-II 48/5000/70-50 230V</x:v>
      </x:c>
      <x:c r="D13" s="1021" t="n">
        <x:v>38</x:v>
      </x:c>
      <x:c r="E13" s="1021" t="n">
        <x:v>66</x:v>
      </x:c>
      <x:c r="F13" s="1021" t="n">
        <x:v>4000</x:v>
      </x:c>
      <x:c r="G13" s="1021" t="n">
        <x:v>9000</x:v>
      </x:c>
      <x:c r="H13" s="1021" t="n">
        <x:v>70</x:v>
      </x:c>
      <x:c r="I13" s="1021" t="str">
        <x:v>https://www.victronenergy.com/media/pg/MultiPlus-II_230V/en/technical-specifications-mp-ii-230v.html</x:v>
      </x:c>
      <x:c r="J13" s="1005" t="str">
        <x:f>IF(AND(LEFT(B13,8)="Onduleur",IF(OR(D13="",E13=""),'Projet'!B7="Raccordé réseau",AND('Projet'!B13&gt;=D13,'Projet'!B13&lt;=E13))),"Onduleur","")</x:f>
        <x:v>Onduleur</x:v>
      </x:c>
      <x:c r="K13" s="1005" t="n">
        <x:f>IF(J13="Onduleur",F13,"")</x:f>
        <x:v>4000</x:v>
      </x:c>
      <x:c r="L13" s="1005" t="n">
        <x:f>IF(AND(J13="Onduleur",F13&gt;='Calculs'!$B$19),F13,"")</x:f>
        <x:v>4000</x:v>
      </x:c>
      <x:c r="M13" s="1005" t="str">
        <x:v>À confirmer fabricant</x:v>
      </x:c>
    </x:row>
    <x:row r="14" ht="40" customHeight="1">
      <x:c r="A14" s="1013" t="str">
        <x:v>MultiPlus-II-48-8000</x:v>
      </x:c>
      <x:c r="B14" s="1013" t="str">
        <x:v>Onduleur/chargeur hybride</x:v>
      </x:c>
      <x:c r="C14" s="1013" t="str">
        <x:v>MultiPlus-II 48/8000/110-100 230V</x:v>
      </x:c>
      <x:c r="D14" s="1013" t="n">
        <x:v>38</x:v>
      </x:c>
      <x:c r="E14" s="1013" t="n">
        <x:v>66</x:v>
      </x:c>
      <x:c r="F14" s="1013" t="n">
        <x:v>6400</x:v>
      </x:c>
      <x:c r="G14" s="1013" t="n">
        <x:v>15000</x:v>
      </x:c>
      <x:c r="H14" s="1013" t="n">
        <x:v>110</x:v>
      </x:c>
      <x:c r="I14" s="1013" t="str">
        <x:v>https://www.victronenergy.com/media/pg/MultiPlus-II_230V/en/technical-specifications-mp-ii-230v.html</x:v>
      </x:c>
      <x:c r="J14" s="1005" t="str">
        <x:f>IF(AND(LEFT(B14,8)="Onduleur",IF(OR(D14="",E14=""),'Projet'!B7="Raccordé réseau",AND('Projet'!B13&gt;=D14,'Projet'!B13&lt;=E14))),"Onduleur","")</x:f>
        <x:v>Onduleur</x:v>
      </x:c>
      <x:c r="K14" s="1005" t="n">
        <x:f>IF(J14="Onduleur",F14,"")</x:f>
        <x:v>6400</x:v>
      </x:c>
      <x:c r="L14" s="1005" t="n">
        <x:f>IF(AND(J14="Onduleur",F14&gt;='Calculs'!$B$19),F14,"")</x:f>
        <x:v>6400</x:v>
      </x:c>
      <x:c r="M14" s="1005" t="str">
        <x:v>À confirmer fabricant</x:v>
      </x:c>
    </x:row>
    <x:row r="15" ht="40" customHeight="1">
      <x:c r="A15" s="1021" t="str">
        <x:v>GW5048D-ES</x:v>
      </x:c>
      <x:c r="B15" s="1021" t="str">
        <x:v>Onduleur hybride réseau / secours</x:v>
      </x:c>
      <x:c r="C15" s="1021" t="str">
        <x:v>GoodWe GW5048D-ES (5 kVA)</x:v>
      </x:c>
      <x:c r="D15" s="1021" t="n">
        <x:v>48</x:v>
      </x:c>
      <x:c r="E15" s="1021" t="n">
        <x:v>60</x:v>
      </x:c>
      <x:c r="F15" s="1021" t="n">
        <x:v>4600</x:v>
      </x:c>
      <x:c r="G15" s="1021" t="n">
        <x:v>6900</x:v>
      </x:c>
      <x:c r="H15" s="1021" t="n">
        <x:v>100</x:v>
      </x:c>
      <x:c r="I15" s="1021" t="str">
        <x:v>https://es.goodwe.com/Public/Uploads/productsen/pdf/GW_ES_Datasheet-EN.pdf</x:v>
      </x:c>
      <x:c r="J15" s="1005" t="str">
        <x:f>IF(AND(LEFT(B15,8)="Onduleur",IF(OR(D15="",E15=""),'Projet'!B7="Raccordé réseau",AND('Projet'!B13&gt;=D15,'Projet'!B13&lt;=E15))),"Onduleur","")</x:f>
        <x:v>Onduleur</x:v>
      </x:c>
      <x:c r="K15" s="1005" t="n">
        <x:f>IF(J15="Onduleur",F15,"")</x:f>
        <x:v>4600</x:v>
      </x:c>
      <x:c r="L15" s="1005" t="n">
        <x:f>IF(AND(J15="Onduleur",F15&gt;='Calculs'!$B$19),F15,"")</x:f>
        <x:v>4600</x:v>
      </x:c>
      <x:c r="M15" s="1005" t="str">
        <x:v>À confirmer fabricant</x:v>
      </x:c>
    </x:row>
    <x:row r="16" ht="40" customHeight="1">
      <x:c r="A16" s="1013" t="str">
        <x:v>Fronius-Primo-5</x:v>
      </x:c>
      <x:c r="B16" s="1013" t="str">
        <x:v>Onduleur réseau</x:v>
      </x:c>
      <x:c r="C16" s="1013" t="str">
        <x:v>Fronius Primo 5.0-1</x:v>
      </x:c>
      <x:c r="D16" s="1013"/>
      <x:c r="E16" s="1013"/>
      <x:c r="F16" s="1013" t="n">
        <x:v>5000</x:v>
      </x:c>
      <x:c r="G16" s="1013" t="n">
        <x:v>5000</x:v>
      </x:c>
      <x:c r="H16" s="1013"/>
      <x:c r="I16" s="1013" t="str">
        <x:v>https://www.fronius.com/fr-fr/france/energie-solaire/installateurs-et-partenaires/caracteristiques-techniques/tous-les-produits/onduleur/fronius-primo/fronius-primo-5-0-1</x:v>
      </x:c>
      <x:c r="J16" s="1005" t="str">
        <x:f>IF(AND(LEFT(B16,8)="Onduleur",IF(OR(D16="",E16=""),'Projet'!B7="Raccordé réseau",AND('Projet'!B13&gt;=D16,'Projet'!B13&lt;=E16))),"Onduleur","")</x:f>
      </x:c>
      <x:c r="K16" s="1005" t="str">
        <x:f>IF(J16="Onduleur",F16,"")</x:f>
      </x:c>
      <x:c r="L16" s="1005" t="str">
        <x:f>IF(AND(J16="Onduleur",F16&gt;='Calculs'!$B$19),F16,"")</x:f>
      </x:c>
      <x:c r="M16" s="1005" t="str">
        <x:v>À confirmer fabricant</x:v>
      </x:c>
    </x:row>
    <x:row r="17" ht="40" customHeight="1">
      <x:c r="A17" s="1021" t="str">
        <x:v>Huawei-SUN2000-3KTL-L1</x:v>
      </x:c>
      <x:c r="B17" s="1021" t="str">
        <x:v>Onduleur hybride</x:v>
      </x:c>
      <x:c r="C17" s="1021" t="str">
        <x:v>Huawei SUN2000-3KTL-L1 (batterie 350–560 V; monophasé)</x:v>
      </x:c>
      <x:c r="D17" s="1021" t="n">
        <x:v>350</x:v>
      </x:c>
      <x:c r="E17" s="1021" t="n">
        <x:v>560</x:v>
      </x:c>
      <x:c r="F17" s="1021" t="n">
        <x:v>3000</x:v>
      </x:c>
      <x:c r="G17" s="1021" t="n">
        <x:v>3300</x:v>
      </x:c>
      <x:c r="H17" s="1021" t="n">
        <x:v>15</x:v>
      </x:c>
      <x:c r="I17" s="1021" t="str">
        <x:v>https://solar.huawei.com/cn/products/sun2000-3-4-5-6ktl-l1/specs/</x:v>
      </x:c>
      <x:c r="J17" s="1005" t="str">
        <x:f>IF(AND(LEFT(B17,8)="Onduleur",IF(OR(D17="",E17=""),'Projet'!B7="Raccordé réseau",AND('Projet'!B13&gt;=D17,'Projet'!B13&lt;=E17))),"Onduleur","")</x:f>
      </x:c>
      <x:c r="K17" s="1005" t="str">
        <x:f>IF(J17="Onduleur",F17,"")</x:f>
      </x:c>
      <x:c r="L17" s="1005" t="str">
        <x:f>IF(AND(J17="Onduleur",F17&gt;='Calculs'!$B$19),F17,"")</x:f>
      </x:c>
      <x:c r="M17" s="1005" t="str">
        <x:v>À confirmer fabricant</x:v>
      </x:c>
    </x:row>
    <x:row r="18" ht="40" customHeight="1">
      <x:c r="A18" s="1013" t="str">
        <x:v>Huawei-SUN2000-4KTL-L1</x:v>
      </x:c>
      <x:c r="B18" s="1013" t="str">
        <x:v>Onduleur hybride</x:v>
      </x:c>
      <x:c r="C18" s="1013" t="str">
        <x:v>Huawei SUN2000-4KTL-L1 (batterie 350–560 V; monophasé)</x:v>
      </x:c>
      <x:c r="D18" s="1013" t="n">
        <x:v>350</x:v>
      </x:c>
      <x:c r="E18" s="1013" t="n">
        <x:v>560</x:v>
      </x:c>
      <x:c r="F18" s="1013" t="n">
        <x:v>4000</x:v>
      </x:c>
      <x:c r="G18" s="1013" t="n">
        <x:v>4400</x:v>
      </x:c>
      <x:c r="H18" s="1013" t="n">
        <x:v>15</x:v>
      </x:c>
      <x:c r="I18" s="1013" t="str">
        <x:v>https://solar.huawei.com/cn/products/sun2000-3-4-5-6ktl-l1/specs/</x:v>
      </x:c>
      <x:c r="J18" s="1005" t="str">
        <x:f>IF(AND(LEFT(B18,8)="Onduleur",IF(OR(D18="",E18=""),'Projet'!B7="Raccordé réseau",AND('Projet'!B13&gt;=D18,'Projet'!B13&lt;=E18))),"Onduleur","")</x:f>
      </x:c>
      <x:c r="K18" s="1005" t="str">
        <x:f>IF(J18="Onduleur",F18,"")</x:f>
      </x:c>
      <x:c r="L18" s="1005" t="str">
        <x:f>IF(AND(J18="Onduleur",F18&gt;='Calculs'!$B$19),F18,"")</x:f>
      </x:c>
      <x:c r="M18" s="1005" t="str">
        <x:v>À confirmer fabricant</x:v>
      </x:c>
    </x:row>
    <x:row r="19" ht="40" customHeight="1">
      <x:c r="A19" s="1021" t="str">
        <x:v>Huawei-SUN2000-5KTL-L1</x:v>
      </x:c>
      <x:c r="B19" s="1021" t="str">
        <x:v>Onduleur hybride</x:v>
      </x:c>
      <x:c r="C19" s="1021" t="str">
        <x:v>Huawei SUN2000-5KTL-L1 (batterie 350–560 V; monophasé)</x:v>
      </x:c>
      <x:c r="D19" s="1021" t="n">
        <x:v>350</x:v>
      </x:c>
      <x:c r="E19" s="1021" t="n">
        <x:v>560</x:v>
      </x:c>
      <x:c r="F19" s="1021" t="n">
        <x:v>5000</x:v>
      </x:c>
      <x:c r="G19" s="1021" t="n">
        <x:v>5500</x:v>
      </x:c>
      <x:c r="H19" s="1021" t="n">
        <x:v>15</x:v>
      </x:c>
      <x:c r="I19" s="1021" t="str">
        <x:v>https://solar.huawei.com/cn/products/sun2000-3-4-5-6ktl-l1/specs/</x:v>
      </x:c>
      <x:c r="J19" s="1005" t="str">
        <x:f>IF(AND(LEFT(B19,8)="Onduleur",IF(OR(D19="",E19=""),'Projet'!B7="Raccordé réseau",AND('Projet'!B13&gt;=D19,'Projet'!B13&lt;=E19))),"Onduleur","")</x:f>
      </x:c>
      <x:c r="K19" s="1005" t="str">
        <x:f>IF(J19="Onduleur",F19,"")</x:f>
      </x:c>
      <x:c r="L19" s="1005" t="str">
        <x:f>IF(AND(J19="Onduleur",F19&gt;='Calculs'!$B$19),F19,"")</x:f>
      </x:c>
      <x:c r="M19" s="1005" t="str">
        <x:v>À confirmer fabricant</x:v>
      </x:c>
    </x:row>
    <x:row r="20" ht="40" customHeight="1">
      <x:c r="A20" s="1013" t="str">
        <x:v>Huawei-SUN2000-6KTL-L1</x:v>
      </x:c>
      <x:c r="B20" s="1013" t="str">
        <x:v>Onduleur hybride</x:v>
      </x:c>
      <x:c r="C20" s="1013" t="str">
        <x:v>Huawei SUN2000-6KTL-L1 (batterie 350–560 V; monophasé)</x:v>
      </x:c>
      <x:c r="D20" s="1013" t="n">
        <x:v>350</x:v>
      </x:c>
      <x:c r="E20" s="1013" t="n">
        <x:v>560</x:v>
      </x:c>
      <x:c r="F20" s="1013" t="n">
        <x:v>6000</x:v>
      </x:c>
      <x:c r="G20" s="1013" t="n">
        <x:v>6000</x:v>
      </x:c>
      <x:c r="H20" s="1013" t="n">
        <x:v>15</x:v>
      </x:c>
      <x:c r="I20" s="1013" t="str">
        <x:v>https://solar.huawei.com/cn/products/sun2000-3-4-5-6ktl-l1/specs/</x:v>
      </x:c>
      <x:c r="J20" s="1005" t="str">
        <x:f>IF(AND(LEFT(B20,8)="Onduleur",IF(OR(D20="",E20=""),'Projet'!B7="Raccordé réseau",AND('Projet'!B13&gt;=D20,'Projet'!B13&lt;=E20))),"Onduleur","")</x:f>
      </x:c>
      <x:c r="K20" s="1005" t="str">
        <x:f>IF(J20="Onduleur",F20,"")</x:f>
      </x:c>
      <x:c r="L20" s="1005" t="str">
        <x:f>IF(AND(J20="Onduleur",F20&gt;='Calculs'!$B$19),F20,"")</x:f>
      </x:c>
      <x:c r="M20" s="1005" t="str">
        <x:v>À confirmer fabricant</x:v>
      </x:c>
    </x:row>
    <x:row r="21" ht="40" customHeight="1">
      <x:c r="A21" s="1021" t="str">
        <x:v>Huawei-SUN2000-3KTL-L1-MPPT</x:v>
      </x:c>
      <x:c r="B21" s="1021" t="str">
        <x:v>MPPT</x:v>
      </x:c>
      <x:c r="C21" s="1021" t="str">
        <x:v>MPPT intégré SUN2000-3KTL-L1 (batterie 350–560 V)</x:v>
      </x:c>
      <x:c r="D21" s="1021" t="n">
        <x:v>350</x:v>
      </x:c>
      <x:c r="E21" s="1021" t="n">
        <x:v>560</x:v>
      </x:c>
      <x:c r="F21" s="1021" t="n">
        <x:v>3000</x:v>
      </x:c>
      <x:c r="G21" s="1021" t="n">
        <x:v>600</x:v>
      </x:c>
      <x:c r="H21" s="1021" t="n">
        <x:v>12.5</x:v>
      </x:c>
      <x:c r="I21" s="1021" t="str">
        <x:v>https://solar.huawei.com/cn/products/sun2000-3-4-5-6ktl-l1/specs/</x:v>
      </x:c>
      <x:c r="J21" s="1005" t="str">
        <x:f>IF(AND(LEFT(B21,8)="Onduleur",IF(OR(D21="",E21=""),'Projet'!B7="Raccordé réseau",AND('Projet'!B13&gt;=D21,'Projet'!B13&lt;=E21))),"Onduleur","")</x:f>
      </x:c>
      <x:c r="K21" s="1005" t="str">
        <x:f>IF(J21="Onduleur",F21,"")</x:f>
      </x:c>
      <x:c r="L21" s="1005" t="str">
        <x:f>IF(AND(J21="Onduleur",F21&gt;='Calculs'!$B$19),F21,"")</x:f>
      </x:c>
      <x:c r="M21" s="1005" t="str">
        <x:v>À confirmer fabricant</x:v>
      </x:c>
    </x:row>
    <x:row r="22" ht="40" customHeight="1">
      <x:c r="A22" s="1038" t="str">
        <x:v>Huawei-SUN2000-4KTL-L1-MPPT</x:v>
      </x:c>
      <x:c r="B22" s="1038" t="str">
        <x:v>MPPT</x:v>
      </x:c>
      <x:c r="C22" s="1038" t="str">
        <x:v>MPPT intégré SUN2000-4KTL-L1 (batterie 350–560 V)</x:v>
      </x:c>
      <x:c r="D22" s="1038" t="n">
        <x:v>350</x:v>
      </x:c>
      <x:c r="E22" s="1038" t="n">
        <x:v>560</x:v>
      </x:c>
      <x:c r="F22" s="1038" t="n">
        <x:v>6000</x:v>
      </x:c>
      <x:c r="G22" s="1038" t="n">
        <x:v>600</x:v>
      </x:c>
      <x:c r="H22" s="1038" t="n">
        <x:v>12.5</x:v>
      </x:c>
      <x:c r="I22" s="1038" t="str">
        <x:v>https://solar.huawei.com/cn/products/sun2000-3-4-5-6ktl-l1/specs/</x:v>
      </x:c>
      <x:c r="J22" s="1005" t="str">
        <x:f>IF(AND(LEFT(B22,8)="Onduleur",IF(OR(D22="",E22=""),'Projet'!B7="Raccordé réseau",AND('Projet'!B13&gt;=D22,'Projet'!B13&lt;=E22))),"Onduleur","")</x:f>
      </x:c>
      <x:c r="K22" s="1005" t="str">
        <x:f>IF(J22="Onduleur",F22,"")</x:f>
      </x:c>
      <x:c r="L22" s="1005" t="str">
        <x:f>IF(AND(J22="Onduleur",F22&gt;='Calculs'!$B$19),F22,"")</x:f>
      </x:c>
      <x:c r="M22" s="1005" t="str">
        <x:v>À confirmer fabricant</x:v>
      </x:c>
    </x:row>
    <x:row r="23" ht="40" customHeight="1">
      <x:c r="A23" s="1021" t="str">
        <x:v>Huawei-SUN2000-5KTL-L1-MPPT</x:v>
      </x:c>
      <x:c r="B23" s="1021" t="str">
        <x:v>MPPT</x:v>
      </x:c>
      <x:c r="C23" s="1021" t="str">
        <x:v>MPPT intégré SUN2000-5KTL-L1 (batterie 350–560 V)</x:v>
      </x:c>
      <x:c r="D23" s="1021" t="n">
        <x:v>350</x:v>
      </x:c>
      <x:c r="E23" s="1021" t="n">
        <x:v>560</x:v>
      </x:c>
      <x:c r="F23" s="1021" t="n">
        <x:v>7500</x:v>
      </x:c>
      <x:c r="G23" s="1021" t="n">
        <x:v>600</x:v>
      </x:c>
      <x:c r="H23" s="1021" t="n">
        <x:v>12.5</x:v>
      </x:c>
      <x:c r="I23" s="1021" t="str">
        <x:v>https://solar.huawei.com/cn/products/sun2000-3-4-5-6ktl-l1/specs/</x:v>
      </x:c>
      <x:c r="J23" s="1005" t="str">
        <x:f>IF(AND(LEFT(B23,8)="Onduleur",IF(OR(D23="",E23=""),'Projet'!B7="Raccordé réseau",AND('Projet'!B13&gt;=D23,'Projet'!B13&lt;=E23))),"Onduleur","")</x:f>
      </x:c>
      <x:c r="K23" s="1005" t="str">
        <x:f>IF(J23="Onduleur",F23,"")</x:f>
      </x:c>
      <x:c r="L23" s="1005" t="str">
        <x:f>IF(AND(J23="Onduleur",F23&gt;='Calculs'!$B$19),F23,"")</x:f>
      </x:c>
      <x:c r="M23" s="1005" t="str">
        <x:v>À confirmer fabricant</x:v>
      </x:c>
    </x:row>
    <x:row r="24" ht="40" customHeight="1">
      <x:c r="A24" s="1038" t="str">
        <x:v>Huawei-SUN2000-6KTL-L1-MPPT</x:v>
      </x:c>
      <x:c r="B24" s="1038" t="str">
        <x:v>MPPT</x:v>
      </x:c>
      <x:c r="C24" s="1038" t="str">
        <x:v>MPPT intégré SUN2000-6KTL-L1 (batterie 350–560 V)</x:v>
      </x:c>
      <x:c r="D24" s="1038" t="n">
        <x:v>350</x:v>
      </x:c>
      <x:c r="E24" s="1038" t="n">
        <x:v>560</x:v>
      </x:c>
      <x:c r="F24" s="1038" t="n">
        <x:v>9000</x:v>
      </x:c>
      <x:c r="G24" s="1038" t="n">
        <x:v>600</x:v>
      </x:c>
      <x:c r="H24" s="1038" t="n">
        <x:v>12.5</x:v>
      </x:c>
      <x:c r="I24" s="1038" t="str">
        <x:v>https://solar.huawei.com/cn/products/sun2000-3-4-5-6ktl-l1/specs/</x:v>
      </x:c>
      <x:c r="J24" s="1005" t="str">
        <x:f>IF(AND(LEFT(B24,8)="Onduleur",IF(OR(D24="",E24=""),'Projet'!B7="Raccordé réseau",AND('Projet'!B13&gt;=D24,'Projet'!B13&lt;=E24))),"Onduleur","")</x:f>
      </x:c>
      <x:c r="K24" s="1005" t="str">
        <x:f>IF(J24="Onduleur",F24,"")</x:f>
      </x:c>
      <x:c r="L24" s="1005" t="str">
        <x:f>IF(AND(J24="Onduleur",F24&gt;='Calculs'!$B$19),F24,"")</x:f>
      </x:c>
      <x:c r="M24" s="1005" t="str">
        <x:v>À confirmer fabricant</x:v>
      </x:c>
    </x:row>
    <x:row r="25" ht="40" customHeight="1">
      <x:c r="A25" s="1021" t="str">
        <x:v>Huawei-SUN2000-12KTL-M5</x:v>
      </x:c>
      <x:c r="B25" s="1021" t="str">
        <x:v>Onduleur réseau</x:v>
      </x:c>
      <x:c r="C25" s="1021" t="str">
        <x:v>Huawei SUN2000-12KTL-M5 triphasé</x:v>
      </x:c>
      <x:c r="D25" s="1021"/>
      <x:c r="E25" s="1021"/>
      <x:c r="F25" s="1021" t="n">
        <x:v>12000</x:v>
      </x:c>
      <x:c r="G25" s="1021" t="n">
        <x:v>1100</x:v>
      </x:c>
      <x:c r="H25" s="1021" t="n">
        <x:v>40</x:v>
      </x:c>
      <x:c r="I25" s="1021" t="str">
        <x:v>https://solar.huawei.com/en/products/sun2000-150k-mg0/specs/</x:v>
      </x:c>
      <x:c r="J25" s="1005" t="str">
        <x:f>IF(AND(LEFT(B25,8)="Onduleur",IF(OR(D25="",E25=""),'Projet'!B7="Raccordé réseau",AND('Projet'!B13&gt;=D25,'Projet'!B13&lt;=E25))),"Onduleur","")</x:f>
      </x:c>
      <x:c r="K25" s="1005" t="str">
        <x:f>IF(J25="Onduleur",F25,"")</x:f>
      </x:c>
      <x:c r="L25" s="1005" t="str">
        <x:f>IF(AND(J25="Onduleur",F25&gt;='Calculs'!$B$19),F25,"")</x:f>
      </x:c>
      <x:c r="M25" s="1005" t="str">
        <x:v>À confirmer fabricant</x:v>
      </x:c>
    </x:row>
    <x:row r="26" ht="40" customHeight="1">
      <x:c r="A26" s="1018" t="str">
        <x:v>Huawei-SUN2000-15KTL-M5</x:v>
      </x:c>
      <x:c r="B26" s="1018" t="str">
        <x:v>Onduleur réseau</x:v>
      </x:c>
      <x:c r="C26" s="1018" t="str">
        <x:v>Huawei SUN2000-15KTL-M5 triphasé</x:v>
      </x:c>
      <x:c r="D26" s="1018"/>
      <x:c r="E26" s="1018"/>
      <x:c r="F26" s="1018" t="n">
        <x:v>15000</x:v>
      </x:c>
      <x:c r="G26" s="1018" t="n">
        <x:v>1100</x:v>
      </x:c>
      <x:c r="H26" s="1018" t="n">
        <x:v>40</x:v>
      </x:c>
      <x:c r="I26" s="1018" t="str">
        <x:v>https://solar.huawei.com/en/products/sun2000-150k-mg0/specs/</x:v>
      </x:c>
      <x:c r="J26" s="1005" t="str">
        <x:f>IF(AND(LEFT(B26,8)="Onduleur",IF(OR(D26="",E26=""),'Projet'!B7="Raccordé réseau",AND('Projet'!B13&gt;=D26,'Projet'!B13&lt;=E26))),"Onduleur","")</x:f>
      </x:c>
      <x:c r="K26" s="1005" t="str">
        <x:f>IF(J26="Onduleur",F26,"")</x:f>
      </x:c>
      <x:c r="L26" s="1005" t="str">
        <x:f>IF(AND(J26="Onduleur",F26&gt;='Calculs'!$B$19),F26,"")</x:f>
      </x:c>
      <x:c r="M26" s="1005" t="str">
        <x:v>À confirmer fabricant</x:v>
      </x:c>
    </x:row>
    <x:row r="27" ht="40" customHeight="1">
      <x:c r="A27" s="1021" t="str">
        <x:v>Huawei-SUN2000-17KTL-M5</x:v>
      </x:c>
      <x:c r="B27" s="1021" t="str">
        <x:v>Onduleur réseau</x:v>
      </x:c>
      <x:c r="C27" s="1021" t="str">
        <x:v>Huawei SUN2000-17KTL-M5 triphasé</x:v>
      </x:c>
      <x:c r="D27" s="1021"/>
      <x:c r="E27" s="1021"/>
      <x:c r="F27" s="1021" t="n">
        <x:v>17000</x:v>
      </x:c>
      <x:c r="G27" s="1021" t="n">
        <x:v>1100</x:v>
      </x:c>
      <x:c r="H27" s="1021" t="n">
        <x:v>40</x:v>
      </x:c>
      <x:c r="I27" s="1021" t="str">
        <x:v>https://solar.huawei.com/en/products/sun2000-150k-mg0/specs/</x:v>
      </x:c>
      <x:c r="J27" s="1005" t="str">
        <x:f>IF(AND(LEFT(B27,8)="Onduleur",IF(OR(D27="",E27=""),'Projet'!B7="Raccordé réseau",AND('Projet'!B13&gt;=D27,'Projet'!B13&lt;=E27))),"Onduleur","")</x:f>
      </x:c>
      <x:c r="K27" s="1005" t="str">
        <x:f>IF(J27="Onduleur",F27,"")</x:f>
      </x:c>
      <x:c r="L27" s="1005" t="str">
        <x:f>IF(AND(J27="Onduleur",F27&gt;='Calculs'!$B$19),F27,"")</x:f>
      </x:c>
      <x:c r="M27" s="1005" t="str">
        <x:v>À confirmer fabricant</x:v>
      </x:c>
    </x:row>
    <x:row r="28" ht="40" customHeight="1">
      <x:c r="A28" s="1018" t="str">
        <x:v>Huawei-SUN2000-20KTL-M5</x:v>
      </x:c>
      <x:c r="B28" s="1018" t="str">
        <x:v>Onduleur réseau</x:v>
      </x:c>
      <x:c r="C28" s="1018" t="str">
        <x:v>Huawei SUN2000-20KTL-M5 triphasé</x:v>
      </x:c>
      <x:c r="D28" s="1018"/>
      <x:c r="E28" s="1018"/>
      <x:c r="F28" s="1018" t="n">
        <x:v>20000</x:v>
      </x:c>
      <x:c r="G28" s="1018" t="n">
        <x:v>1100</x:v>
      </x:c>
      <x:c r="H28" s="1018" t="n">
        <x:v>40</x:v>
      </x:c>
      <x:c r="I28" s="1018" t="str">
        <x:v>https://solar.huawei.com/en/products/sun2000-150k-mg0/specs/</x:v>
      </x:c>
      <x:c r="J28" s="1005" t="str">
        <x:f>IF(AND(LEFT(B28,8)="Onduleur",IF(OR(D28="",E28=""),'Projet'!B7="Raccordé réseau",AND('Projet'!B13&gt;=D28,'Projet'!B13&lt;=E28))),"Onduleur","")</x:f>
      </x:c>
      <x:c r="K28" s="1005" t="str">
        <x:f>IF(J28="Onduleur",F28,"")</x:f>
      </x:c>
      <x:c r="L28" s="1005" t="str">
        <x:f>IF(AND(J28="Onduleur",F28&gt;='Calculs'!$B$19),F28,"")</x:f>
      </x:c>
      <x:c r="M28" s="1005" t="str">
        <x:v>À confirmer fabricant</x:v>
      </x:c>
    </x:row>
    <x:row r="29" ht="40" customHeight="1">
      <x:c r="A29" s="1021" t="str">
        <x:v>Huawei-SUN2000-25KTL-M5</x:v>
      </x:c>
      <x:c r="B29" s="1021" t="str">
        <x:v>Onduleur réseau</x:v>
      </x:c>
      <x:c r="C29" s="1021" t="str">
        <x:v>Huawei SUN2000-25KTL-M5 triphasé</x:v>
      </x:c>
      <x:c r="D29" s="1021"/>
      <x:c r="E29" s="1021"/>
      <x:c r="F29" s="1021" t="n">
        <x:v>25000</x:v>
      </x:c>
      <x:c r="G29" s="1021" t="n">
        <x:v>1100</x:v>
      </x:c>
      <x:c r="H29" s="1021" t="n">
        <x:v>40</x:v>
      </x:c>
      <x:c r="I29" s="1021" t="str">
        <x:v>https://solar.huawei.com/en/products/sun2000-150k-mg0/specs/</x:v>
      </x:c>
      <x:c r="J29" s="1005" t="str">
        <x:f>IF(AND(LEFT(B29,8)="Onduleur",IF(OR(D29="",E29=""),'Projet'!B7="Raccordé réseau",AND('Projet'!B13&gt;=D29,'Projet'!B13&lt;=E29))),"Onduleur","")</x:f>
      </x:c>
      <x:c r="K29" s="1005" t="str">
        <x:f>IF(J29="Onduleur",F29,"")</x:f>
      </x:c>
      <x:c r="L29" s="1005" t="str">
        <x:f>IF(AND(J29="Onduleur",F29&gt;='Calculs'!$B$19),F29,"")</x:f>
      </x:c>
      <x:c r="M29" s="1005" t="str">
        <x:v>À confirmer fabricant</x:v>
      </x:c>
    </x:row>
    <x:row r="30" ht="40" customHeight="1">
      <x:c r="A30" s="1018" t="str">
        <x:v>Huawei-SUN2000-30KTL-M3</x:v>
      </x:c>
      <x:c r="B30" s="1018" t="str">
        <x:v>Onduleur réseau</x:v>
      </x:c>
      <x:c r="C30" s="1018" t="str">
        <x:v>Huawei SUN2000-30KTL-M3 triphasé</x:v>
      </x:c>
      <x:c r="D30" s="1018"/>
      <x:c r="E30" s="1018"/>
      <x:c r="F30" s="1018" t="n">
        <x:v>30000</x:v>
      </x:c>
      <x:c r="G30" s="1018" t="n">
        <x:v>1100</x:v>
      </x:c>
      <x:c r="H30" s="1018" t="n">
        <x:v>40</x:v>
      </x:c>
      <x:c r="I30" s="1018" t="str">
        <x:v>https://solar.huawei.com/en/products/sun2000-150k-mg0/specs/</x:v>
      </x:c>
      <x:c r="J30" s="1005" t="str">
        <x:f>IF(AND(LEFT(B30,8)="Onduleur",IF(OR(D30="",E30=""),'Projet'!B7="Raccordé réseau",AND('Projet'!B13&gt;=D30,'Projet'!B13&lt;=E30))),"Onduleur","")</x:f>
      </x:c>
      <x:c r="K30" s="1005" t="str">
        <x:f>IF(J30="Onduleur",F30,"")</x:f>
      </x:c>
      <x:c r="L30" s="1005" t="str">
        <x:f>IF(AND(J30="Onduleur",F30&gt;='Calculs'!$B$19),F30,"")</x:f>
      </x:c>
      <x:c r="M30" s="1005" t="str">
        <x:v>À confirmer fabricant</x:v>
      </x:c>
    </x:row>
    <x:row r="31" ht="40" customHeight="1">
      <x:c r="A31" s="1021" t="str">
        <x:v>Huawei-SUN2000-36KTL-M3</x:v>
      </x:c>
      <x:c r="B31" s="1021" t="str">
        <x:v>Onduleur réseau</x:v>
      </x:c>
      <x:c r="C31" s="1021" t="str">
        <x:v>Huawei SUN2000-36KTL-M3 triphasé</x:v>
      </x:c>
      <x:c r="D31" s="1021"/>
      <x:c r="E31" s="1021"/>
      <x:c r="F31" s="1021" t="n">
        <x:v>36000</x:v>
      </x:c>
      <x:c r="G31" s="1021" t="n">
        <x:v>1100</x:v>
      </x:c>
      <x:c r="H31" s="1021" t="n">
        <x:v>40</x:v>
      </x:c>
      <x:c r="I31" s="1021" t="str">
        <x:v>https://solar.huawei.com/en/products/sun2000-150k-mg0/specs/</x:v>
      </x:c>
      <x:c r="J31" s="1005" t="str">
        <x:f>IF(AND(LEFT(B31,8)="Onduleur",IF(OR(D31="",E31=""),'Projet'!B7="Raccordé réseau",AND('Projet'!B13&gt;=D31,'Projet'!B13&lt;=E31))),"Onduleur","")</x:f>
      </x:c>
      <x:c r="K31" s="1005" t="str">
        <x:f>IF(J31="Onduleur",F31,"")</x:f>
      </x:c>
      <x:c r="L31" s="1005" t="str">
        <x:f>IF(AND(J31="Onduleur",F31&gt;='Calculs'!$B$19),F31,"")</x:f>
      </x:c>
      <x:c r="M31" s="1005" t="str">
        <x:v>À confirmer fabricant</x:v>
      </x:c>
    </x:row>
    <x:row r="32" ht="40" customHeight="1">
      <x:c r="A32" s="1018" t="str">
        <x:v>Huawei-SUN2000-40KTL-M3</x:v>
      </x:c>
      <x:c r="B32" s="1018" t="str">
        <x:v>Onduleur réseau</x:v>
      </x:c>
      <x:c r="C32" s="1018" t="str">
        <x:v>Huawei SUN2000-40KTL-M3 triphasé</x:v>
      </x:c>
      <x:c r="D32" s="1018"/>
      <x:c r="E32" s="1018"/>
      <x:c r="F32" s="1018" t="n">
        <x:v>40000</x:v>
      </x:c>
      <x:c r="G32" s="1018" t="n">
        <x:v>1100</x:v>
      </x:c>
      <x:c r="H32" s="1018" t="n">
        <x:v>40</x:v>
      </x:c>
      <x:c r="I32" s="1018" t="str">
        <x:v>https://solar.huawei.com/en/products/sun2000-150k-mg0/specs/</x:v>
      </x:c>
      <x:c r="J32" s="1005" t="str">
        <x:f>IF(AND(LEFT(B32,8)="Onduleur",IF(OR(D32="",E32=""),'Projet'!B7="Raccordé réseau",AND('Projet'!B13&gt;=D32,'Projet'!B13&lt;=E32))),"Onduleur","")</x:f>
      </x:c>
      <x:c r="K32" s="1005" t="str">
        <x:f>IF(J32="Onduleur",F32,"")</x:f>
      </x:c>
      <x:c r="L32" s="1005" t="str">
        <x:f>IF(AND(J32="Onduleur",F32&gt;='Calculs'!$B$19),F32,"")</x:f>
      </x:c>
      <x:c r="M32" s="1005" t="str">
        <x:v>À confirmer fabricant</x:v>
      </x:c>
    </x:row>
    <x:row r="33" ht="40" customHeight="1">
      <x:c r="A33" s="1021" t="str">
        <x:v>Huawei-SUN2000-50KTL-M3</x:v>
      </x:c>
      <x:c r="B33" s="1021" t="str">
        <x:v>Onduleur réseau</x:v>
      </x:c>
      <x:c r="C33" s="1021" t="str">
        <x:v>Huawei SUN2000-50KTL-M3 triphasé</x:v>
      </x:c>
      <x:c r="D33" s="1021"/>
      <x:c r="E33" s="1021"/>
      <x:c r="F33" s="1021" t="n">
        <x:v>50000</x:v>
      </x:c>
      <x:c r="G33" s="1021" t="n">
        <x:v>1100</x:v>
      </x:c>
      <x:c r="H33" s="1021" t="n">
        <x:v>40</x:v>
      </x:c>
      <x:c r="I33" s="1021" t="str">
        <x:v>https://solar.huawei.com/en/products/sun2000-150k-mg0/specs/</x:v>
      </x:c>
      <x:c r="J33" s="1005" t="str">
        <x:f>IF(AND(LEFT(B33,8)="Onduleur",IF(OR(D33="",E33=""),'Projet'!B7="Raccordé réseau",AND('Projet'!B13&gt;=D33,'Projet'!B13&lt;=E33))),"Onduleur","")</x:f>
      </x:c>
      <x:c r="K33" s="1005" t="str">
        <x:f>IF(J33="Onduleur",F33,"")</x:f>
      </x:c>
      <x:c r="L33" s="1005" t="str">
        <x:f>IF(AND(J33="Onduleur",F33&gt;='Calculs'!$B$19),F33,"")</x:f>
      </x:c>
      <x:c r="M33" s="1005" t="str">
        <x:v>À confirmer fabricant</x:v>
      </x:c>
    </x:row>
    <x:row r="34" ht="40" customHeight="1">
      <x:c r="A34" s="1018" t="str">
        <x:v>Huawei-SUN2000-100KTL-M2</x:v>
      </x:c>
      <x:c r="B34" s="1018" t="str">
        <x:v>Onduleur réseau</x:v>
      </x:c>
      <x:c r="C34" s="1018" t="str">
        <x:v>Huawei SUN2000-100KTL-M2 triphasé</x:v>
      </x:c>
      <x:c r="D34" s="1018"/>
      <x:c r="E34" s="1018"/>
      <x:c r="F34" s="1018" t="n">
        <x:v>100000</x:v>
      </x:c>
      <x:c r="G34" s="1018" t="n">
        <x:v>1100</x:v>
      </x:c>
      <x:c r="H34" s="1018" t="n">
        <x:v>40</x:v>
      </x:c>
      <x:c r="I34" s="1018" t="str">
        <x:v>https://solar.huawei.com/en/products/sun2000-150k-mg0/specs/</x:v>
      </x:c>
      <x:c r="J34" s="1005" t="str">
        <x:f>IF(AND(LEFT(B34,8)="Onduleur",IF(OR(D34="",E34=""),'Projet'!B7="Raccordé réseau",AND('Projet'!B13&gt;=D34,'Projet'!B13&lt;=E34))),"Onduleur","")</x:f>
      </x:c>
      <x:c r="K34" s="1005" t="str">
        <x:f>IF(J34="Onduleur",F34,"")</x:f>
      </x:c>
      <x:c r="L34" s="1005" t="str">
        <x:f>IF(AND(J34="Onduleur",F34&gt;='Calculs'!$B$19),F34,"")</x:f>
      </x:c>
      <x:c r="M34" s="1005" t="str">
        <x:v>À confirmer fabricant</x:v>
      </x:c>
    </x:row>
    <x:row r="35" ht="40" customHeight="1">
      <x:c r="A35" s="1021" t="str">
        <x:v>Huawei-SUN2000-115KTL-M2</x:v>
      </x:c>
      <x:c r="B35" s="1021" t="str">
        <x:v>Onduleur réseau</x:v>
      </x:c>
      <x:c r="C35" s="1021" t="str">
        <x:v>Huawei SUN2000-115KTL-M2 triphasé</x:v>
      </x:c>
      <x:c r="D35" s="1021"/>
      <x:c r="E35" s="1021"/>
      <x:c r="F35" s="1021" t="n">
        <x:v>115000</x:v>
      </x:c>
      <x:c r="G35" s="1021" t="n">
        <x:v>1100</x:v>
      </x:c>
      <x:c r="H35" s="1021" t="n">
        <x:v>40</x:v>
      </x:c>
      <x:c r="I35" s="1021" t="str">
        <x:v>https://solar.huawei.com/en/products/sun2000-150k-mg0/specs/</x:v>
      </x:c>
      <x:c r="J35" s="1005" t="str">
        <x:f>IF(AND(LEFT(B35,8)="Onduleur",IF(OR(D35="",E35=""),'Projet'!B7="Raccordé réseau",AND('Projet'!B13&gt;=D35,'Projet'!B13&lt;=E35))),"Onduleur","")</x:f>
      </x:c>
      <x:c r="K35" s="1005" t="str">
        <x:f>IF(J35="Onduleur",F35,"")</x:f>
      </x:c>
      <x:c r="L35" s="1005" t="str">
        <x:f>IF(AND(J35="Onduleur",F35&gt;='Calculs'!$B$19),F35,"")</x:f>
      </x:c>
      <x:c r="M35" s="1005" t="str">
        <x:v>À confirmer fabricant</x:v>
      </x:c>
    </x:row>
    <x:row r="36" ht="40" customHeight="1">
      <x:c r="A36" s="1018" t="str">
        <x:v>Huawei-SUN2000-150K-MG0</x:v>
      </x:c>
      <x:c r="B36" s="1018" t="str">
        <x:v>Onduleur réseau</x:v>
      </x:c>
      <x:c r="C36" s="1018" t="str">
        <x:v>Huawei SUN2000-150K-MG0 triphasé</x:v>
      </x:c>
      <x:c r="D36" s="1018"/>
      <x:c r="E36" s="1018"/>
      <x:c r="F36" s="1018" t="n">
        <x:v>150000</x:v>
      </x:c>
      <x:c r="G36" s="1018" t="n">
        <x:v>1100</x:v>
      </x:c>
      <x:c r="H36" s="1018" t="n">
        <x:v>48</x:v>
      </x:c>
      <x:c r="I36" s="1018" t="str">
        <x:v>https://solar.huawei.com/ie/products/sun2000-150k-mg0/specs/</x:v>
      </x:c>
      <x:c r="J36" s="1005" t="str">
        <x:f>IF(AND(LEFT(B36,8)="Onduleur",IF(OR(D36="",E36=""),'Projet'!B7="Raccordé réseau",AND('Projet'!B13&gt;=D36,'Projet'!B13&lt;=E36))),"Onduleur","")</x:f>
      </x:c>
      <x:c r="K36" s="1005" t="str">
        <x:f>IF(J36="Onduleur",F36,"")</x:f>
      </x:c>
      <x:c r="L36" s="1005" t="str">
        <x:f>IF(AND(J36="Onduleur",F36&gt;='Calculs'!$B$19),F36,"")</x:f>
      </x:c>
      <x:c r="M36" s="1005" t="str">
        <x:v>À confirmer fabricant</x:v>
      </x:c>
    </x:row>
    <x:row r="37" ht="40" customHeight="1">
      <x:c r="A37" s="1021" t="str">
        <x:v>GoodWe-GW5K-ET</x:v>
      </x:c>
      <x:c r="B37" s="1021" t="str">
        <x:v>Onduleur hybride</x:v>
      </x:c>
      <x:c r="C37" s="1021" t="str">
        <x:v>GoodWe ET 5 kW triphasé HV</x:v>
      </x:c>
      <x:c r="D37" s="1021" t="n">
        <x:v>180</x:v>
      </x:c>
      <x:c r="E37" s="1021" t="n">
        <x:v>600</x:v>
      </x:c>
      <x:c r="F37" s="1021" t="n">
        <x:v>5000</x:v>
      </x:c>
      <x:c r="G37" s="1021" t="n">
        <x:v>1000</x:v>
      </x:c>
      <x:c r="H37" s="1021" t="n">
        <x:v>25</x:v>
      </x:c>
      <x:c r="I37" s="1021" t="str">
        <x:v>https://en.goodwe.com/Ftp/EN/Downloads/Datasheet/GW_ET_Datasheet-EN.pdf</x:v>
      </x:c>
      <x:c r="J37" s="1005" t="str">
        <x:f>IF(AND(LEFT(B37,8)="Onduleur",IF(OR(D37="",E37=""),'Projet'!B7="Raccordé réseau",AND('Projet'!B13&gt;=D37,'Projet'!B13&lt;=E37))),"Onduleur","")</x:f>
      </x:c>
      <x:c r="K37" s="1005" t="str">
        <x:f>IF(J37="Onduleur",F37,"")</x:f>
      </x:c>
      <x:c r="L37" s="1005" t="str">
        <x:f>IF(AND(J37="Onduleur",F37&gt;='Calculs'!$B$19),F37,"")</x:f>
      </x:c>
      <x:c r="M37" s="1005" t="str">
        <x:v>À confirmer fabricant</x:v>
      </x:c>
    </x:row>
    <x:row r="38" ht="40" customHeight="1">
      <x:c r="A38" s="1018" t="str">
        <x:v>GoodWe-GW6K-ET</x:v>
      </x:c>
      <x:c r="B38" s="1018" t="str">
        <x:v>Onduleur hybride</x:v>
      </x:c>
      <x:c r="C38" s="1018" t="str">
        <x:v>GoodWe ET 6 kW triphasé HV</x:v>
      </x:c>
      <x:c r="D38" s="1018" t="n">
        <x:v>180</x:v>
      </x:c>
      <x:c r="E38" s="1018" t="n">
        <x:v>600</x:v>
      </x:c>
      <x:c r="F38" s="1018" t="n">
        <x:v>6000</x:v>
      </x:c>
      <x:c r="G38" s="1018" t="n">
        <x:v>1000</x:v>
      </x:c>
      <x:c r="H38" s="1018" t="n">
        <x:v>25</x:v>
      </x:c>
      <x:c r="I38" s="1018" t="str">
        <x:v>https://en.goodwe.com/Ftp/EN/Downloads/Datasheet/GW_ET_Datasheet-EN.pdf</x:v>
      </x:c>
      <x:c r="J38" s="1005" t="str">
        <x:f>IF(AND(LEFT(B38,8)="Onduleur",IF(OR(D38="",E38=""),'Projet'!B7="Raccordé réseau",AND('Projet'!B13&gt;=D38,'Projet'!B13&lt;=E38))),"Onduleur","")</x:f>
      </x:c>
      <x:c r="K38" s="1005" t="str">
        <x:f>IF(J38="Onduleur",F38,"")</x:f>
      </x:c>
      <x:c r="L38" s="1005" t="str">
        <x:f>IF(AND(J38="Onduleur",F38&gt;='Calculs'!$B$19),F38,"")</x:f>
      </x:c>
      <x:c r="M38" s="1005" t="str">
        <x:v>À confirmer fabricant</x:v>
      </x:c>
    </x:row>
    <x:row r="39" ht="40" customHeight="1">
      <x:c r="A39" s="1021" t="str">
        <x:v>GoodWe-GW8K-ET</x:v>
      </x:c>
      <x:c r="B39" s="1021" t="str">
        <x:v>Onduleur hybride</x:v>
      </x:c>
      <x:c r="C39" s="1021" t="str">
        <x:v>GoodWe ET 8 kW triphasé HV</x:v>
      </x:c>
      <x:c r="D39" s="1021" t="n">
        <x:v>180</x:v>
      </x:c>
      <x:c r="E39" s="1021" t="n">
        <x:v>600</x:v>
      </x:c>
      <x:c r="F39" s="1021" t="n">
        <x:v>8000</x:v>
      </x:c>
      <x:c r="G39" s="1021" t="n">
        <x:v>1000</x:v>
      </x:c>
      <x:c r="H39" s="1021" t="n">
        <x:v>25</x:v>
      </x:c>
      <x:c r="I39" s="1021" t="str">
        <x:v>https://en.goodwe.com/Ftp/EN/Downloads/Datasheet/GW_ET_Datasheet-EN.pdf</x:v>
      </x:c>
      <x:c r="J39" s="1005" t="str">
        <x:f>IF(AND(LEFT(B39,8)="Onduleur",IF(OR(D39="",E39=""),'Projet'!B7="Raccordé réseau",AND('Projet'!B13&gt;=D39,'Projet'!B13&lt;=E39))),"Onduleur","")</x:f>
      </x:c>
      <x:c r="K39" s="1005" t="str">
        <x:f>IF(J39="Onduleur",F39,"")</x:f>
      </x:c>
      <x:c r="L39" s="1005" t="str">
        <x:f>IF(AND(J39="Onduleur",F39&gt;='Calculs'!$B$19),F39,"")</x:f>
      </x:c>
      <x:c r="M39" s="1005" t="str">
        <x:v>À confirmer fabricant</x:v>
      </x:c>
    </x:row>
    <x:row r="40" ht="40" customHeight="1">
      <x:c r="A40" s="1018" t="str">
        <x:v>GoodWe-GW10K-ET</x:v>
      </x:c>
      <x:c r="B40" s="1018" t="str">
        <x:v>Onduleur hybride</x:v>
      </x:c>
      <x:c r="C40" s="1018" t="str">
        <x:v>GoodWe ET 10 kW triphasé HV</x:v>
      </x:c>
      <x:c r="D40" s="1018" t="n">
        <x:v>180</x:v>
      </x:c>
      <x:c r="E40" s="1018" t="n">
        <x:v>600</x:v>
      </x:c>
      <x:c r="F40" s="1018" t="n">
        <x:v>10000</x:v>
      </x:c>
      <x:c r="G40" s="1018" t="n">
        <x:v>1000</x:v>
      </x:c>
      <x:c r="H40" s="1018" t="n">
        <x:v>25</x:v>
      </x:c>
      <x:c r="I40" s="1018" t="str">
        <x:v>https://en.goodwe.com/Ftp/EN/Downloads/Datasheet/GW_ET_Datasheet-EN.pdf</x:v>
      </x:c>
      <x:c r="J40" s="1005" t="str">
        <x:f>IF(AND(LEFT(B40,8)="Onduleur",IF(OR(D40="",E40=""),'Projet'!B7="Raccordé réseau",AND('Projet'!B13&gt;=D40,'Projet'!B13&lt;=E40))),"Onduleur","")</x:f>
      </x:c>
      <x:c r="K40" s="1005" t="str">
        <x:f>IF(J40="Onduleur",F40,"")</x:f>
      </x:c>
      <x:c r="L40" s="1005" t="str">
        <x:f>IF(AND(J40="Onduleur",F40&gt;='Calculs'!$B$19),F40,"")</x:f>
      </x:c>
      <x:c r="M40" s="1005" t="str">
        <x:v>À confirmer fabricant</x:v>
      </x:c>
    </x:row>
    <x:row r="41" ht="40" customHeight="1">
      <x:c r="A41" s="1021" t="str">
        <x:v>Deye-SUN-5K-SG04LP3-EU</x:v>
      </x:c>
      <x:c r="B41" s="1021" t="str">
        <x:v>Onduleur hybride</x:v>
      </x:c>
      <x:c r="C41" s="1021" t="str">
        <x:v>Deye Deye-SUN-5K-SG04LP3-EU triphasé basse tension</x:v>
      </x:c>
      <x:c r="D41" s="1021" t="n">
        <x:v>40</x:v>
      </x:c>
      <x:c r="E41" s="1021" t="n">
        <x:v>60</x:v>
      </x:c>
      <x:c r="F41" s="1021" t="n">
        <x:v>5000</x:v>
      </x:c>
      <x:c r="G41" s="1021" t="n">
        <x:v>800</x:v>
      </x:c>
      <x:c r="H41" s="1021" t="n">
        <x:v>120</x:v>
      </x:c>
      <x:c r="I41" s="1021" t="str">
        <x:v>https://www.deyeinverter.com/deyeinverter/2023/10/20/datasheet_sun-5-12k-sg04lp3_231020_en.pdf</x:v>
      </x:c>
      <x:c r="J41" s="1005" t="str">
        <x:f>IF(AND(LEFT(B41,8)="Onduleur",IF(OR(D41="",E41=""),'Projet'!B7="Raccordé réseau",AND('Projet'!B13&gt;=D41,'Projet'!B13&lt;=E41))),"Onduleur","")</x:f>
        <x:v>Onduleur</x:v>
      </x:c>
      <x:c r="K41" s="1005" t="n">
        <x:f>IF(J41="Onduleur",F41,"")</x:f>
        <x:v>5000</x:v>
      </x:c>
      <x:c r="L41" s="1005" t="n">
        <x:f>IF(AND(J41="Onduleur",F41&gt;='Calculs'!$B$19),F41,"")</x:f>
        <x:v>5000</x:v>
      </x:c>
      <x:c r="M41" s="1005" t="str">
        <x:v>À confirmer fabricant</x:v>
      </x:c>
    </x:row>
    <x:row r="42" ht="40" customHeight="1">
      <x:c r="A42" s="1018" t="str">
        <x:v>Deye-SUN-6K-SG04LP3-EU</x:v>
      </x:c>
      <x:c r="B42" s="1018" t="str">
        <x:v>Onduleur hybride</x:v>
      </x:c>
      <x:c r="C42" s="1018" t="str">
        <x:v>Deye Deye-SUN-6K-SG04LP3-EU triphasé basse tension</x:v>
      </x:c>
      <x:c r="D42" s="1018" t="n">
        <x:v>40</x:v>
      </x:c>
      <x:c r="E42" s="1018" t="n">
        <x:v>60</x:v>
      </x:c>
      <x:c r="F42" s="1018" t="n">
        <x:v>6000</x:v>
      </x:c>
      <x:c r="G42" s="1018" t="n">
        <x:v>800</x:v>
      </x:c>
      <x:c r="H42" s="1018" t="n">
        <x:v>150</x:v>
      </x:c>
      <x:c r="I42" s="1018" t="str">
        <x:v>https://www.deyeinverter.com/deyeinverter/2023/10/20/datasheet_sun-5-12k-sg04lp3_231020_en.pdf</x:v>
      </x:c>
      <x:c r="J42" s="1005" t="str">
        <x:f>IF(AND(LEFT(B42,8)="Onduleur",IF(OR(D42="",E42=""),'Projet'!B7="Raccordé réseau",AND('Projet'!B13&gt;=D42,'Projet'!B13&lt;=E42))),"Onduleur","")</x:f>
        <x:v>Onduleur</x:v>
      </x:c>
      <x:c r="K42" s="1005" t="n">
        <x:f>IF(J42="Onduleur",F42,"")</x:f>
        <x:v>6000</x:v>
      </x:c>
      <x:c r="L42" s="1005" t="n">
        <x:f>IF(AND(J42="Onduleur",F42&gt;='Calculs'!$B$19),F42,"")</x:f>
        <x:v>6000</x:v>
      </x:c>
      <x:c r="M42" s="1005" t="str">
        <x:v>À confirmer fabricant</x:v>
      </x:c>
    </x:row>
    <x:row r="43" ht="40" customHeight="1">
      <x:c r="A43" s="1021" t="str">
        <x:v>Deye-SUN-8K-SG04LP3-EU</x:v>
      </x:c>
      <x:c r="B43" s="1021" t="str">
        <x:v>Onduleur hybride</x:v>
      </x:c>
      <x:c r="C43" s="1021" t="str">
        <x:v>Deye Deye-SUN-8K-SG04LP3-EU triphasé basse tension</x:v>
      </x:c>
      <x:c r="D43" s="1021" t="n">
        <x:v>40</x:v>
      </x:c>
      <x:c r="E43" s="1021" t="n">
        <x:v>60</x:v>
      </x:c>
      <x:c r="F43" s="1021" t="n">
        <x:v>8000</x:v>
      </x:c>
      <x:c r="G43" s="1021" t="n">
        <x:v>800</x:v>
      </x:c>
      <x:c r="H43" s="1021" t="n">
        <x:v>190</x:v>
      </x:c>
      <x:c r="I43" s="1021" t="str">
        <x:v>https://www.deyeinverter.com/deyeinverter/2023/10/20/datasheet_sun-5-12k-sg04lp3_231020_en.pdf</x:v>
      </x:c>
      <x:c r="J43" s="1005" t="str">
        <x:f>IF(AND(LEFT(B43,8)="Onduleur",IF(OR(D43="",E43=""),'Projet'!B7="Raccordé réseau",AND('Projet'!B13&gt;=D43,'Projet'!B13&lt;=E43))),"Onduleur","")</x:f>
        <x:v>Onduleur</x:v>
      </x:c>
      <x:c r="K43" s="1005" t="n">
        <x:f>IF(J43="Onduleur",F43,"")</x:f>
        <x:v>8000</x:v>
      </x:c>
      <x:c r="L43" s="1005" t="n">
        <x:f>IF(AND(J43="Onduleur",F43&gt;='Calculs'!$B$19),F43,"")</x:f>
        <x:v>8000</x:v>
      </x:c>
      <x:c r="M43" s="1005" t="str">
        <x:v>À confirmer fabricant</x:v>
      </x:c>
    </x:row>
    <x:row r="44" ht="40" customHeight="1">
      <x:c r="A44" s="1018" t="str">
        <x:v>Deye-SUN-10K-SG04LP3-EU</x:v>
      </x:c>
      <x:c r="B44" s="1018" t="str">
        <x:v>Onduleur hybride</x:v>
      </x:c>
      <x:c r="C44" s="1018" t="str">
        <x:v>Deye Deye-SUN-10K-SG04LP3-EU triphasé basse tension</x:v>
      </x:c>
      <x:c r="D44" s="1018" t="n">
        <x:v>40</x:v>
      </x:c>
      <x:c r="E44" s="1018" t="n">
        <x:v>60</x:v>
      </x:c>
      <x:c r="F44" s="1018" t="n">
        <x:v>10000</x:v>
      </x:c>
      <x:c r="G44" s="1018" t="n">
        <x:v>800</x:v>
      </x:c>
      <x:c r="H44" s="1018" t="n">
        <x:v>210</x:v>
      </x:c>
      <x:c r="I44" s="1018" t="str">
        <x:v>https://www.deyeinverter.com/deyeinverter/2023/10/20/datasheet_sun-5-12k-sg04lp3_231020_en.pdf</x:v>
      </x:c>
      <x:c r="J44" s="1005" t="str">
        <x:f>IF(AND(LEFT(B44,8)="Onduleur",IF(OR(D44="",E44=""),'Projet'!B7="Raccordé réseau",AND('Projet'!B13&gt;=D44,'Projet'!B13&lt;=E44))),"Onduleur","")</x:f>
        <x:v>Onduleur</x:v>
      </x:c>
      <x:c r="K44" s="1005" t="n">
        <x:f>IF(J44="Onduleur",F44,"")</x:f>
        <x:v>10000</x:v>
      </x:c>
      <x:c r="L44" s="1005" t="n">
        <x:f>IF(AND(J44="Onduleur",F44&gt;='Calculs'!$B$19),F44,"")</x:f>
        <x:v>10000</x:v>
      </x:c>
      <x:c r="M44" s="1005" t="str">
        <x:v>À confirmer fabricant</x:v>
      </x:c>
    </x:row>
    <x:row r="45" ht="40" customHeight="1">
      <x:c r="A45" s="1021" t="str">
        <x:v>Deye-SUN-12K-SG04LP3-EU</x:v>
      </x:c>
      <x:c r="B45" s="1021" t="str">
        <x:v>Onduleur hybride</x:v>
      </x:c>
      <x:c r="C45" s="1021" t="str">
        <x:v>Deye Deye-SUN-12K-SG04LP3-EU triphasé basse tension</x:v>
      </x:c>
      <x:c r="D45" s="1021" t="n">
        <x:v>40</x:v>
      </x:c>
      <x:c r="E45" s="1021" t="n">
        <x:v>60</x:v>
      </x:c>
      <x:c r="F45" s="1021" t="n">
        <x:v>12000</x:v>
      </x:c>
      <x:c r="G45" s="1021" t="n">
        <x:v>800</x:v>
      </x:c>
      <x:c r="H45" s="1021" t="n">
        <x:v>240</x:v>
      </x:c>
      <x:c r="I45" s="1021" t="str">
        <x:v>https://www.deyeinverter.com/deyeinverter/2023/10/20/datasheet_sun-5-12k-sg04lp3_231020_en.pdf</x:v>
      </x:c>
      <x:c r="J45" s="1005" t="str">
        <x:f>IF(AND(LEFT(B45,8)="Onduleur",IF(OR(D45="",E45=""),'Projet'!B7="Raccordé réseau",AND('Projet'!B13&gt;=D45,'Projet'!B13&lt;=E45))),"Onduleur","")</x:f>
        <x:v>Onduleur</x:v>
      </x:c>
      <x:c r="K45" s="1005" t="n">
        <x:f>IF(J45="Onduleur",F45,"")</x:f>
        <x:v>12000</x:v>
      </x:c>
      <x:c r="L45" s="1005" t="n">
        <x:f>IF(AND(J45="Onduleur",F45&gt;='Calculs'!$B$19),F45,"")</x:f>
        <x:v>12000</x:v>
      </x:c>
      <x:c r="M45" s="1005" t="str">
        <x:v>À confirmer fabricant</x:v>
      </x:c>
    </x:row>
    <x:row r="46" ht="40" customHeight="1">
      <x:c r="A46" s="1018" t="str">
        <x:v>Deye-SUN-3K-SG05LP3-EU-SM2</x:v>
      </x:c>
      <x:c r="B46" s="1018" t="str">
        <x:v>Onduleur hybride</x:v>
      </x:c>
      <x:c r="C46" s="1018" t="str">
        <x:v>Deye Deye-SUN-3K-SG05LP3-EU-SM2 triphasé basse tension</x:v>
      </x:c>
      <x:c r="D46" s="1018" t="n">
        <x:v>40</x:v>
      </x:c>
      <x:c r="E46" s="1018" t="n">
        <x:v>60</x:v>
      </x:c>
      <x:c r="F46" s="1018" t="n">
        <x:v>3000</x:v>
      </x:c>
      <x:c r="G46" s="1018" t="n">
        <x:v>800</x:v>
      </x:c>
      <x:c r="H46" s="1018" t="n">
        <x:v>70</x:v>
      </x:c>
      <x:c r="I46" s="1018" t="str">
        <x:v>https://deyeess.com/wp-content/uploads/2026/02/Deye-RW-LSUN-3.6-6-12K-Energy-Storage-Solution-EN-1.pdf</x:v>
      </x:c>
      <x:c r="J46" s="1005" t="str">
        <x:f>IF(AND(LEFT(B46,8)="Onduleur",IF(OR(D46="",E46=""),'Projet'!B7="Raccordé réseau",AND('Projet'!B13&gt;=D46,'Projet'!B13&lt;=E46))),"Onduleur","")</x:f>
        <x:v>Onduleur</x:v>
      </x:c>
      <x:c r="K46" s="1005" t="n">
        <x:f>IF(J46="Onduleur",F46,"")</x:f>
        <x:v>3000</x:v>
      </x:c>
      <x:c r="L46" s="1005" t="n">
        <x:f>IF(AND(J46="Onduleur",F46&gt;='Calculs'!$B$19),F46,"")</x:f>
        <x:v>3000</x:v>
      </x:c>
      <x:c r="M46" s="1005" t="str">
        <x:v>À confirmer fabricant</x:v>
      </x:c>
    </x:row>
    <x:row r="47" ht="40" customHeight="1">
      <x:c r="A47" s="1021" t="str">
        <x:v>Deye-SUN-4K-SG05LP3-EU-SM2</x:v>
      </x:c>
      <x:c r="B47" s="1021" t="str">
        <x:v>Onduleur hybride</x:v>
      </x:c>
      <x:c r="C47" s="1021" t="str">
        <x:v>Deye Deye-SUN-4K-SG05LP3-EU-SM2 triphasé basse tension</x:v>
      </x:c>
      <x:c r="D47" s="1021" t="n">
        <x:v>40</x:v>
      </x:c>
      <x:c r="E47" s="1021" t="n">
        <x:v>60</x:v>
      </x:c>
      <x:c r="F47" s="1021" t="n">
        <x:v>4000</x:v>
      </x:c>
      <x:c r="G47" s="1021" t="n">
        <x:v>800</x:v>
      </x:c>
      <x:c r="H47" s="1021" t="n">
        <x:v>95</x:v>
      </x:c>
      <x:c r="I47" s="1021" t="str">
        <x:v>https://deyeess.com/wp-content/uploads/2026/02/Deye-RW-LSUN-3.6-6-12K-Energy-Storage-Solution-EN-1.pdf</x:v>
      </x:c>
      <x:c r="J47" s="1005" t="str">
        <x:f>IF(AND(LEFT(B47,8)="Onduleur",IF(OR(D47="",E47=""),'Projet'!B7="Raccordé réseau",AND('Projet'!B13&gt;=D47,'Projet'!B13&lt;=E47))),"Onduleur","")</x:f>
        <x:v>Onduleur</x:v>
      </x:c>
      <x:c r="K47" s="1005" t="n">
        <x:f>IF(J47="Onduleur",F47,"")</x:f>
        <x:v>4000</x:v>
      </x:c>
      <x:c r="L47" s="1005" t="n">
        <x:f>IF(AND(J47="Onduleur",F47&gt;='Calculs'!$B$19),F47,"")</x:f>
        <x:v>4000</x:v>
      </x:c>
      <x:c r="M47" s="1005" t="str">
        <x:v>À confirmer fabricant</x:v>
      </x:c>
    </x:row>
    <x:row r="48" ht="40" customHeight="1">
      <x:c r="A48" s="1018" t="str">
        <x:v>Deye-SUN-5K-SG05LP3-EU-SM2</x:v>
      </x:c>
      <x:c r="B48" s="1018" t="str">
        <x:v>Onduleur hybride</x:v>
      </x:c>
      <x:c r="C48" s="1018" t="str">
        <x:v>Deye Deye-SUN-5K-SG05LP3-EU-SM2 triphasé basse tension</x:v>
      </x:c>
      <x:c r="D48" s="1018" t="n">
        <x:v>40</x:v>
      </x:c>
      <x:c r="E48" s="1018" t="n">
        <x:v>60</x:v>
      </x:c>
      <x:c r="F48" s="1018" t="n">
        <x:v>5000</x:v>
      </x:c>
      <x:c r="G48" s="1018" t="n">
        <x:v>800</x:v>
      </x:c>
      <x:c r="H48" s="1018" t="n">
        <x:v>120</x:v>
      </x:c>
      <x:c r="I48" s="1018" t="str">
        <x:v>https://deyeess.com/wp-content/uploads/2026/02/Deye-RW-LSUN-3.6-6-12K-Energy-Storage-Solution-EN-1.pdf</x:v>
      </x:c>
      <x:c r="J48" s="1005" t="str">
        <x:f>IF(AND(LEFT(B48,8)="Onduleur",IF(OR(D48="",E48=""),'Projet'!B7="Raccordé réseau",AND('Projet'!B13&gt;=D48,'Projet'!B13&lt;=E48))),"Onduleur","")</x:f>
        <x:v>Onduleur</x:v>
      </x:c>
      <x:c r="K48" s="1005" t="n">
        <x:f>IF(J48="Onduleur",F48,"")</x:f>
        <x:v>5000</x:v>
      </x:c>
      <x:c r="L48" s="1005" t="n">
        <x:f>IF(AND(J48="Onduleur",F48&gt;='Calculs'!$B$19),F48,"")</x:f>
        <x:v>5000</x:v>
      </x:c>
      <x:c r="M48" s="1005" t="str">
        <x:v>À confirmer fabricant</x:v>
      </x:c>
    </x:row>
    <x:row r="49" ht="40" customHeight="1">
      <x:c r="A49" s="1021" t="str">
        <x:v>Deye-SUN-6K-SG05LP3-EU-SM2</x:v>
      </x:c>
      <x:c r="B49" s="1021" t="str">
        <x:v>Onduleur hybride</x:v>
      </x:c>
      <x:c r="C49" s="1021" t="str">
        <x:v>Deye Deye-SUN-6K-SG05LP3-EU-SM2 triphasé basse tension</x:v>
      </x:c>
      <x:c r="D49" s="1021" t="n">
        <x:v>40</x:v>
      </x:c>
      <x:c r="E49" s="1021" t="n">
        <x:v>60</x:v>
      </x:c>
      <x:c r="F49" s="1021" t="n">
        <x:v>6000</x:v>
      </x:c>
      <x:c r="G49" s="1021" t="n">
        <x:v>800</x:v>
      </x:c>
      <x:c r="H49" s="1021" t="n">
        <x:v>135</x:v>
      </x:c>
      <x:c r="I49" s="1021" t="str">
        <x:v>https://deyeess.com/wp-content/uploads/2026/02/Deye-RW-LSUN-3.6-6-12K-Energy-Storage-Solution-EN-1.pdf</x:v>
      </x:c>
      <x:c r="J49" s="1005" t="str">
        <x:f>IF(AND(LEFT(B49,8)="Onduleur",IF(OR(D49="",E49=""),'Projet'!B7="Raccordé réseau",AND('Projet'!B13&gt;=D49,'Projet'!B13&lt;=E49))),"Onduleur","")</x:f>
        <x:v>Onduleur</x:v>
      </x:c>
      <x:c r="K49" s="1005" t="n">
        <x:f>IF(J49="Onduleur",F49,"")</x:f>
        <x:v>6000</x:v>
      </x:c>
      <x:c r="L49" s="1005" t="n">
        <x:f>IF(AND(J49="Onduleur",F49&gt;='Calculs'!$B$19),F49,"")</x:f>
        <x:v>6000</x:v>
      </x:c>
      <x:c r="M49" s="1005" t="str">
        <x:v>À confirmer fabricant</x:v>
      </x:c>
    </x:row>
    <x:row r="50" ht="40" customHeight="1">
      <x:c r="A50" s="1018" t="str">
        <x:v>Deye-SUN-8K-SG05LP3-EU-SM2</x:v>
      </x:c>
      <x:c r="B50" s="1018" t="str">
        <x:v>Onduleur hybride</x:v>
      </x:c>
      <x:c r="C50" s="1018" t="str">
        <x:v>Deye Deye-SUN-8K-SG05LP3-EU-SM2 triphasé basse tension</x:v>
      </x:c>
      <x:c r="D50" s="1018" t="n">
        <x:v>40</x:v>
      </x:c>
      <x:c r="E50" s="1018" t="n">
        <x:v>60</x:v>
      </x:c>
      <x:c r="F50" s="1018" t="n">
        <x:v>8000</x:v>
      </x:c>
      <x:c r="G50" s="1018" t="n">
        <x:v>800</x:v>
      </x:c>
      <x:c r="H50" s="1018" t="n">
        <x:v>190</x:v>
      </x:c>
      <x:c r="I50" s="1018" t="str">
        <x:v>https://deyeess.com/wp-content/uploads/2026/02/Deye-RW-LSUN-3.6-6-12K-Energy-Storage-Solution-EN-1.pdf</x:v>
      </x:c>
      <x:c r="J50" s="1005" t="str">
        <x:f>IF(AND(LEFT(B50,8)="Onduleur",IF(OR(D50="",E50=""),'Projet'!B7="Raccordé réseau",AND('Projet'!B13&gt;=D50,'Projet'!B13&lt;=E50))),"Onduleur","")</x:f>
        <x:v>Onduleur</x:v>
      </x:c>
      <x:c r="K50" s="1005" t="n">
        <x:f>IF(J50="Onduleur",F50,"")</x:f>
        <x:v>8000</x:v>
      </x:c>
      <x:c r="L50" s="1005" t="n">
        <x:f>IF(AND(J50="Onduleur",F50&gt;='Calculs'!$B$19),F50,"")</x:f>
        <x:v>8000</x:v>
      </x:c>
      <x:c r="M50" s="1005" t="str">
        <x:v>À confirmer fabricant</x:v>
      </x:c>
    </x:row>
    <x:row r="51" ht="40" customHeight="1">
      <x:c r="A51" s="1021" t="str">
        <x:v>Deye-SUN-10K-SG05LP3-EU-SM2</x:v>
      </x:c>
      <x:c r="B51" s="1021" t="str">
        <x:v>Onduleur hybride</x:v>
      </x:c>
      <x:c r="C51" s="1021" t="str">
        <x:v>Deye Deye-SUN-10K-SG05LP3-EU-SM2 triphasé basse tension</x:v>
      </x:c>
      <x:c r="D51" s="1021" t="n">
        <x:v>40</x:v>
      </x:c>
      <x:c r="E51" s="1021" t="n">
        <x:v>60</x:v>
      </x:c>
      <x:c r="F51" s="1021" t="n">
        <x:v>10000</x:v>
      </x:c>
      <x:c r="G51" s="1021" t="n">
        <x:v>800</x:v>
      </x:c>
      <x:c r="H51" s="1021" t="n">
        <x:v>210</x:v>
      </x:c>
      <x:c r="I51" s="1021" t="str">
        <x:v>https://deyeess.com/wp-content/uploads/2026/02/Deye-RW-LSUN-3.6-6-12K-Energy-Storage-Solution-EN-1.pdf</x:v>
      </x:c>
      <x:c r="J51" s="1005" t="str">
        <x:f>IF(AND(LEFT(B51,8)="Onduleur",IF(OR(D51="",E51=""),'Projet'!B7="Raccordé réseau",AND('Projet'!B13&gt;=D51,'Projet'!B13&lt;=E51))),"Onduleur","")</x:f>
        <x:v>Onduleur</x:v>
      </x:c>
      <x:c r="K51" s="1005" t="n">
        <x:f>IF(J51="Onduleur",F51,"")</x:f>
        <x:v>10000</x:v>
      </x:c>
      <x:c r="L51" s="1005" t="n">
        <x:f>IF(AND(J51="Onduleur",F51&gt;='Calculs'!$B$19),F51,"")</x:f>
        <x:v>10000</x:v>
      </x:c>
      <x:c r="M51" s="1005" t="str">
        <x:v>À confirmer fabricant</x:v>
      </x:c>
    </x:row>
    <x:row r="52" ht="40" customHeight="1">
      <x:c r="A52" s="1018" t="str">
        <x:v>Deye-SUN-12K-SG05LP3-EU-SM2</x:v>
      </x:c>
      <x:c r="B52" s="1018" t="str">
        <x:v>Onduleur hybride</x:v>
      </x:c>
      <x:c r="C52" s="1018" t="str">
        <x:v>Deye Deye-SUN-12K-SG05LP3-EU-SM2 triphasé basse tension</x:v>
      </x:c>
      <x:c r="D52" s="1018" t="n">
        <x:v>40</x:v>
      </x:c>
      <x:c r="E52" s="1018" t="n">
        <x:v>60</x:v>
      </x:c>
      <x:c r="F52" s="1018" t="n">
        <x:v>12000</x:v>
      </x:c>
      <x:c r="G52" s="1018" t="n">
        <x:v>800</x:v>
      </x:c>
      <x:c r="H52" s="1018" t="n">
        <x:v>240</x:v>
      </x:c>
      <x:c r="I52" s="1018" t="str">
        <x:v>https://deyeess.com/wp-content/uploads/2026/02/Deye-RW-LSUN-3.6-6-12K-Energy-Storage-Solution-EN-1.pdf</x:v>
      </x:c>
      <x:c r="J52" s="1005" t="str">
        <x:f>IF(AND(LEFT(B52,8)="Onduleur",IF(OR(D52="",E52=""),'Projet'!B7="Raccordé réseau",AND('Projet'!B13&gt;=D52,'Projet'!B13&lt;=E52))),"Onduleur","")</x:f>
        <x:v>Onduleur</x:v>
      </x:c>
      <x:c r="K52" s="1005" t="n">
        <x:f>IF(J52="Onduleur",F52,"")</x:f>
        <x:v>12000</x:v>
      </x:c>
      <x:c r="L52" s="1005" t="n">
        <x:f>IF(AND(J52="Onduleur",F52&gt;='Calculs'!$B$19),F52,"")</x:f>
        <x:v>12000</x:v>
      </x:c>
      <x:c r="M52" s="1005" t="str">
        <x:v>À confirmer fabricant</x:v>
      </x:c>
    </x:row>
    <x:row r="53">
      <x:c r="J53" s="1005" t="str">
        <x:f>IF(AND(LEFT(B53,8)="Onduleur",IF(OR(D53="",E53=""),'Projet'!B7="Raccordé réseau",AND('Projet'!B13&gt;=D53,'Projet'!B13&lt;=E53))),"Onduleur","")</x:f>
      </x:c>
      <x:c r="K53" s="1005" t="str">
        <x:f>IF(J53="Onduleur",F53,"")</x:f>
      </x:c>
      <x:c r="L53" s="1005" t="str">
        <x:f>IF(AND(J53="Onduleur",F53&gt;='Calculs'!$B$19),F53,"")</x:f>
      </x:c>
      <x:c r="M53" s="1005" t="str">
        <x:v>À confirmer fabricant</x:v>
      </x:c>
    </x:row>
    <x:row r="54">
      <x:c r="J54" s="1005" t="str">
        <x:f>IF(AND(LEFT(B54,8)="Onduleur",IF(OR(D54="",E54=""),'Projet'!B7="Raccordé réseau",AND('Projet'!B13&gt;=D54,'Projet'!B13&lt;=E54))),"Onduleur","")</x:f>
      </x:c>
      <x:c r="K54" s="1005" t="str">
        <x:f>IF(J54="Onduleur",F54,"")</x:f>
      </x:c>
      <x:c r="L54" s="1005" t="str">
        <x:f>IF(AND(J54="Onduleur",F54&gt;='Calculs'!$B$19),F54,"")</x:f>
      </x:c>
      <x:c r="M54" s="1005" t="str">
        <x:v>À confirmer fabricant</x:v>
      </x:c>
    </x:row>
    <x:row r="55">
      <x:c r="J55" s="1005" t="str">
        <x:f>IF(AND(LEFT(B55,8)="Onduleur",IF(OR(D55="",E55=""),'Projet'!B7="Raccordé réseau",AND('Projet'!B13&gt;=D55,'Projet'!B13&lt;=E55))),"Onduleur","")</x:f>
      </x:c>
      <x:c r="K55" s="1005" t="str">
        <x:f>IF(J55="Onduleur",F55,"")</x:f>
      </x:c>
      <x:c r="L55" s="1005" t="str">
        <x:f>IF(AND(J55="Onduleur",F55&gt;='Calculs'!$B$19),F55,"")</x:f>
      </x:c>
      <x:c r="M55" s="1005" t="str">
        <x:v>À confirmer fabricant</x:v>
      </x:c>
    </x:row>
    <x:row r="56">
      <x:c r="J56" s="1005" t="str">
        <x:f>IF(AND(LEFT(B56,8)="Onduleur",IF(OR(D56="",E56=""),'Projet'!B7="Raccordé réseau",AND('Projet'!B13&gt;=D56,'Projet'!B13&lt;=E56))),"Onduleur","")</x:f>
      </x:c>
      <x:c r="K56" s="1005" t="str">
        <x:f>IF(J56="Onduleur",F56,"")</x:f>
      </x:c>
      <x:c r="L56" s="1005" t="str">
        <x:f>IF(AND(J56="Onduleur",F56&gt;='Calculs'!$B$19),F56,"")</x:f>
      </x:c>
      <x:c r="M56" s="1005" t="str">
        <x:v>À confirmer fabricant</x:v>
      </x:c>
    </x:row>
    <x:row r="57">
      <x:c r="J57" s="1005" t="str">
        <x:f>IF(AND(LEFT(B57,8)="Onduleur",IF(OR(D57="",E57=""),'Projet'!B7="Raccordé réseau",AND('Projet'!B13&gt;=D57,'Projet'!B13&lt;=E57))),"Onduleur","")</x:f>
      </x:c>
      <x:c r="K57" s="1005" t="str">
        <x:f>IF(J57="Onduleur",F57,"")</x:f>
      </x:c>
      <x:c r="L57" s="1005" t="str">
        <x:f>IF(AND(J57="Onduleur",F57&gt;='Calculs'!$B$19),F57,"")</x:f>
      </x:c>
      <x:c r="M57" s="1005" t="str">
        <x:v>À confirmer fabricant</x:v>
      </x:c>
    </x:row>
    <x:row r="58">
      <x:c r="J58" s="1005" t="str">
        <x:f>IF(AND(LEFT(B58,8)="Onduleur",IF(OR(D58="",E58=""),'Projet'!B7="Raccordé réseau",AND('Projet'!B13&gt;=D58,'Projet'!B13&lt;=E58))),"Onduleur","")</x:f>
      </x:c>
      <x:c r="K58" s="1005" t="str">
        <x:f>IF(J58="Onduleur",F58,"")</x:f>
      </x:c>
      <x:c r="L58" s="1005" t="str">
        <x:f>IF(AND(J58="Onduleur",F58&gt;='Calculs'!$B$19),F58,"")</x:f>
      </x:c>
      <x:c r="M58" s="1005" t="str">
        <x:v>À confirmer fabricant</x:v>
      </x:c>
    </x:row>
    <x:row r="59">
      <x:c r="J59" s="1005" t="str">
        <x:f>IF(AND(LEFT(B59,8)="Onduleur",IF(OR(D59="",E59=""),'Projet'!B7="Raccordé réseau",AND('Projet'!B13&gt;=D59,'Projet'!B13&lt;=E59))),"Onduleur","")</x:f>
      </x:c>
      <x:c r="K59" s="1005" t="str">
        <x:f>IF(J59="Onduleur",F59,"")</x:f>
      </x:c>
      <x:c r="L59" s="1005" t="str">
        <x:f>IF(AND(J59="Onduleur",F59&gt;='Calculs'!$B$19),F59,"")</x:f>
      </x:c>
      <x:c r="M59" s="1005" t="str">
        <x:v>À confirmer fabricant</x:v>
      </x:c>
    </x:row>
    <x:row r="60">
      <x:c r="J60" s="1005" t="str">
        <x:f>IF(AND(LEFT(B60,8)="Onduleur",IF(OR(D60="",E60=""),'Projet'!B7="Raccordé réseau",AND('Projet'!B13&gt;=D60,'Projet'!B13&lt;=E60))),"Onduleur","")</x:f>
      </x:c>
      <x:c r="K60" s="1005" t="str">
        <x:f>IF(J60="Onduleur",F60,"")</x:f>
      </x:c>
      <x:c r="L60" s="1005" t="str">
        <x:f>IF(AND(J60="Onduleur",F60&gt;='Calculs'!$B$19),F60,"")</x:f>
      </x:c>
      <x:c r="M60" s="1005" t="str">
        <x:v>À confirmer fabricant</x:v>
      </x:c>
    </x:row>
    <x:row r="61">
      <x:c r="J61" s="1005" t="str">
        <x:f>IF(AND(LEFT(B61,8)="Onduleur",IF(OR(D61="",E61=""),'Projet'!B7="Raccordé réseau",AND('Projet'!B13&gt;=D61,'Projet'!B13&lt;=E61))),"Onduleur","")</x:f>
      </x:c>
      <x:c r="K61" s="1005" t="str">
        <x:f>IF(J61="Onduleur",F61,"")</x:f>
      </x:c>
      <x:c r="L61" s="1005" t="str">
        <x:f>IF(AND(J61="Onduleur",F61&gt;='Calculs'!$B$19),F61,"")</x:f>
      </x:c>
      <x:c r="M61" s="1005" t="str">
        <x:v>À confirmer fabricant</x:v>
      </x:c>
    </x:row>
    <x:row r="62">
      <x:c r="J62" s="1005" t="str">
        <x:f>IF(AND(LEFT(B62,8)="Onduleur",IF(OR(D62="",E62=""),'Projet'!B7="Raccordé réseau",AND('Projet'!B13&gt;=D62,'Projet'!B13&lt;=E62))),"Onduleur","")</x:f>
      </x:c>
      <x:c r="K62" s="1005" t="str">
        <x:f>IF(J62="Onduleur",F62,"")</x:f>
      </x:c>
      <x:c r="L62" s="1005" t="str">
        <x:f>IF(AND(J62="Onduleur",F62&gt;='Calculs'!$B$19),F62,"")</x:f>
      </x:c>
      <x:c r="M62" s="1005" t="str">
        <x:v>À confirmer fabricant</x:v>
      </x:c>
    </x:row>
    <x:row r="63">
      <x:c r="J63" s="1005" t="str">
        <x:f>IF(AND(LEFT(B63,8)="Onduleur",IF(OR(D63="",E63=""),'Projet'!B7="Raccordé réseau",AND('Projet'!B13&gt;=D63,'Projet'!B13&lt;=E63))),"Onduleur","")</x:f>
      </x:c>
      <x:c r="K63" s="1005" t="str">
        <x:f>IF(J63="Onduleur",F63,"")</x:f>
      </x:c>
      <x:c r="L63" s="1005" t="str">
        <x:f>IF(AND(J63="Onduleur",F63&gt;='Calculs'!$B$19),F63,"")</x:f>
      </x:c>
      <x:c r="M63" s="1005" t="str">
        <x:v>À confirmer fabricant</x:v>
      </x:c>
    </x:row>
    <x:row r="64">
      <x:c r="J64" s="1005" t="str">
        <x:f>IF(AND(LEFT(B64,8)="Onduleur",IF(OR(D64="",E64=""),'Projet'!B7="Raccordé réseau",AND('Projet'!B13&gt;=D64,'Projet'!B13&lt;=E64))),"Onduleur","")</x:f>
      </x:c>
      <x:c r="K64" s="1005" t="str">
        <x:f>IF(J64="Onduleur",F64,"")</x:f>
      </x:c>
      <x:c r="L64" s="1005" t="str">
        <x:f>IF(AND(J64="Onduleur",F64&gt;='Calculs'!$B$19),F64,"")</x:f>
      </x:c>
      <x:c r="M64" s="1005" t="str">
        <x:v>À confirmer fabricant</x:v>
      </x:c>
    </x:row>
    <x:row r="65">
      <x:c r="J65" s="1005" t="str">
        <x:f>IF(AND(LEFT(B65,8)="Onduleur",IF(OR(D65="",E65=""),'Projet'!B7="Raccordé réseau",AND('Projet'!B13&gt;=D65,'Projet'!B13&lt;=E65))),"Onduleur","")</x:f>
      </x:c>
      <x:c r="K65" s="1005" t="str">
        <x:f>IF(J65="Onduleur",F65,"")</x:f>
      </x:c>
      <x:c r="L65" s="1005" t="str">
        <x:f>IF(AND(J65="Onduleur",F65&gt;='Calculs'!$B$19),F65,"")</x:f>
      </x:c>
      <x:c r="M65" s="1005" t="str">
        <x:v>À confirmer fabricant</x:v>
      </x:c>
    </x:row>
    <x:row r="66">
      <x:c r="J66" s="1005" t="str">
        <x:f>IF(AND(LEFT(B66,8)="Onduleur",IF(OR(D66="",E66=""),'Projet'!B7="Raccordé réseau",AND('Projet'!B13&gt;=D66,'Projet'!B13&lt;=E66))),"Onduleur","")</x:f>
      </x:c>
      <x:c r="K66" s="1005" t="str">
        <x:f>IF(J66="Onduleur",F66,"")</x:f>
      </x:c>
      <x:c r="L66" s="1005" t="str">
        <x:f>IF(AND(J66="Onduleur",F66&gt;='Calculs'!$B$19),F66,"")</x:f>
      </x:c>
      <x:c r="M66" s="1005" t="str">
        <x:v>À confirmer fabricant</x:v>
      </x:c>
    </x:row>
    <x:row r="67">
      <x:c r="J67" s="1005" t="str">
        <x:f>IF(AND(LEFT(B67,8)="Onduleur",IF(OR(D67="",E67=""),'Projet'!B7="Raccordé réseau",AND('Projet'!B13&gt;=D67,'Projet'!B13&lt;=E67))),"Onduleur","")</x:f>
      </x:c>
      <x:c r="K67" s="1005" t="str">
        <x:f>IF(J67="Onduleur",F67,"")</x:f>
      </x:c>
      <x:c r="L67" s="1005" t="str">
        <x:f>IF(AND(J67="Onduleur",F67&gt;='Calculs'!$B$19),F67,"")</x:f>
      </x:c>
      <x:c r="M67" s="1005" t="str">
        <x:v>À confirmer fabricant</x:v>
      </x:c>
    </x:row>
    <x:row r="68">
      <x:c r="J68" s="1005" t="str">
        <x:f>IF(AND(LEFT(B68,8)="Onduleur",IF(OR(D68="",E68=""),'Projet'!B7="Raccordé réseau",AND('Projet'!B13&gt;=D68,'Projet'!B13&lt;=E68))),"Onduleur","")</x:f>
      </x:c>
      <x:c r="K68" s="1005" t="str">
        <x:f>IF(J68="Onduleur",F68,"")</x:f>
      </x:c>
      <x:c r="L68" s="1005" t="str">
        <x:f>IF(AND(J68="Onduleur",F68&gt;='Calculs'!$B$19),F68,"")</x:f>
      </x:c>
      <x:c r="M68" s="1005" t="str">
        <x:v>À confirmer fabricant</x:v>
      </x:c>
    </x:row>
    <x:row r="69">
      <x:c r="J69" s="1005" t="str">
        <x:f>IF(AND(LEFT(B69,8)="Onduleur",IF(OR(D69="",E69=""),'Projet'!B7="Raccordé réseau",AND('Projet'!B13&gt;=D69,'Projet'!B13&lt;=E69))),"Onduleur","")</x:f>
      </x:c>
      <x:c r="K69" s="1005" t="str">
        <x:f>IF(J69="Onduleur",F69,"")</x:f>
      </x:c>
      <x:c r="L69" s="1005" t="str">
        <x:f>IF(AND(J69="Onduleur",F69&gt;='Calculs'!$B$19),F69,"")</x:f>
      </x:c>
      <x:c r="M69" s="1005" t="str">
        <x:v>À confirmer fabricant</x:v>
      </x:c>
    </x:row>
    <x:row r="70">
      <x:c r="J70" s="1005" t="str">
        <x:f>IF(AND(LEFT(B70,8)="Onduleur",IF(OR(D70="",E70=""),'Projet'!B7="Raccordé réseau",AND('Projet'!B13&gt;=D70,'Projet'!B13&lt;=E70))),"Onduleur","")</x:f>
      </x:c>
      <x:c r="K70" s="1005" t="str">
        <x:f>IF(J70="Onduleur",F70,"")</x:f>
      </x:c>
      <x:c r="L70" s="1005" t="str">
        <x:f>IF(AND(J70="Onduleur",F70&gt;='Calculs'!$B$19),F70,"")</x:f>
      </x:c>
      <x:c r="M70" s="1005" t="str">
        <x:v>À confirmer fabricant</x:v>
      </x:c>
    </x:row>
    <x:row r="71">
      <x:c r="J71" s="1005" t="str">
        <x:f>IF(AND(LEFT(B71,8)="Onduleur",IF(OR(D71="",E71=""),'Projet'!B7="Raccordé réseau",AND('Projet'!B13&gt;=D71,'Projet'!B13&lt;=E71))),"Onduleur","")</x:f>
      </x:c>
      <x:c r="K71" s="1005" t="str">
        <x:f>IF(J71="Onduleur",F71,"")</x:f>
      </x:c>
      <x:c r="L71" s="1005" t="str">
        <x:f>IF(AND(J71="Onduleur",F71&gt;='Calculs'!$B$19),F71,"")</x:f>
      </x:c>
      <x:c r="M71" s="1005" t="str">
        <x:v>À confirmer fabricant</x:v>
      </x:c>
    </x:row>
    <x:row r="72">
      <x:c r="J72" s="1005" t="str">
        <x:f>IF(AND(LEFT(B72,8)="Onduleur",IF(OR(D72="",E72=""),'Projet'!B7="Raccordé réseau",AND('Projet'!B13&gt;=D72,'Projet'!B13&lt;=E72))),"Onduleur","")</x:f>
      </x:c>
      <x:c r="K72" s="1005" t="str">
        <x:f>IF(J72="Onduleur",F72,"")</x:f>
      </x:c>
      <x:c r="L72" s="1005" t="str">
        <x:f>IF(AND(J72="Onduleur",F72&gt;='Calculs'!$B$19),F72,"")</x:f>
      </x:c>
      <x:c r="M72" s="1005" t="str">
        <x:v>À confirmer fabricant</x:v>
      </x:c>
    </x:row>
    <x:row r="73">
      <x:c r="J73" s="1005" t="str">
        <x:f>IF(AND(LEFT(B73,8)="Onduleur",IF(OR(D73="",E73=""),'Projet'!B7="Raccordé réseau",AND('Projet'!B13&gt;=D73,'Projet'!B13&lt;=E73))),"Onduleur","")</x:f>
      </x:c>
      <x:c r="K73" s="1005" t="str">
        <x:f>IF(J73="Onduleur",F73,"")</x:f>
      </x:c>
      <x:c r="L73" s="1005" t="str">
        <x:f>IF(AND(J73="Onduleur",F73&gt;='Calculs'!$B$19),F73,"")</x:f>
      </x:c>
      <x:c r="M73" s="1005" t="str">
        <x:v>À confirmer fabricant</x:v>
      </x:c>
    </x:row>
    <x:row r="74">
      <x:c r="J74" s="1005" t="str">
        <x:f>IF(AND(LEFT(B74,8)="Onduleur",IF(OR(D74="",E74=""),'Projet'!B7="Raccordé réseau",AND('Projet'!B13&gt;=D74,'Projet'!B13&lt;=E74))),"Onduleur","")</x:f>
      </x:c>
      <x:c r="K74" s="1005" t="str">
        <x:f>IF(J74="Onduleur",F74,"")</x:f>
      </x:c>
      <x:c r="L74" s="1005" t="str">
        <x:f>IF(AND(J74="Onduleur",F74&gt;='Calculs'!$B$19),F74,"")</x:f>
      </x:c>
      <x:c r="M74" s="1005" t="str">
        <x:v>À confirmer fabricant</x:v>
      </x:c>
    </x:row>
    <x:row r="75">
      <x:c r="J75" s="1005" t="str">
        <x:f>IF(AND(LEFT(B75,8)="Onduleur",IF(OR(D75="",E75=""),'Projet'!B7="Raccordé réseau",AND('Projet'!B13&gt;=D75,'Projet'!B13&lt;=E75))),"Onduleur","")</x:f>
      </x:c>
      <x:c r="K75" s="1005" t="str">
        <x:f>IF(J75="Onduleur",F75,"")</x:f>
      </x:c>
      <x:c r="L75" s="1005" t="str">
        <x:f>IF(AND(J75="Onduleur",F75&gt;='Calculs'!$B$19),F75,"")</x:f>
      </x:c>
      <x:c r="M75" s="1005" t="str">
        <x:v>À confirmer fabricant</x:v>
      </x:c>
    </x:row>
    <x:row r="76">
      <x:c r="J76" s="1005" t="str">
        <x:f>IF(AND(LEFT(B76,8)="Onduleur",IF(OR(D76="",E76=""),'Projet'!B7="Raccordé réseau",AND('Projet'!B13&gt;=D76,'Projet'!B13&lt;=E76))),"Onduleur","")</x:f>
      </x:c>
      <x:c r="K76" s="1005" t="str">
        <x:f>IF(J76="Onduleur",F76,"")</x:f>
      </x:c>
      <x:c r="L76" s="1005" t="str">
        <x:f>IF(AND(J76="Onduleur",F76&gt;='Calculs'!$B$19),F76,"")</x:f>
      </x:c>
      <x:c r="M76" s="1005" t="str">
        <x:v>À confirmer fabricant</x:v>
      </x:c>
    </x:row>
    <x:row r="77">
      <x:c r="J77" s="1005" t="str">
        <x:f>IF(AND(LEFT(B77,8)="Onduleur",IF(OR(D77="",E77=""),'Projet'!B7="Raccordé réseau",AND('Projet'!B13&gt;=D77,'Projet'!B13&lt;=E77))),"Onduleur","")</x:f>
      </x:c>
      <x:c r="K77" s="1005" t="str">
        <x:f>IF(J77="Onduleur",F77,"")</x:f>
      </x:c>
      <x:c r="L77" s="1005" t="str">
        <x:f>IF(AND(J77="Onduleur",F77&gt;='Calculs'!$B$19),F77,"")</x:f>
      </x:c>
      <x:c r="M77" s="1005" t="str">
        <x:v>À confirmer fabricant</x:v>
      </x:c>
    </x:row>
    <x:row r="78">
      <x:c r="J78" s="1005" t="str">
        <x:f>IF(AND(LEFT(B78,8)="Onduleur",IF(OR(D78="",E78=""),'Projet'!B7="Raccordé réseau",AND('Projet'!B13&gt;=D78,'Projet'!B13&lt;=E78))),"Onduleur","")</x:f>
      </x:c>
      <x:c r="K78" s="1005" t="str">
        <x:f>IF(J78="Onduleur",F78,"")</x:f>
      </x:c>
      <x:c r="L78" s="1005" t="str">
        <x:f>IF(AND(J78="Onduleur",F78&gt;='Calculs'!$B$19),F78,"")</x:f>
      </x:c>
      <x:c r="M78" s="1005" t="str">
        <x:v>À confirmer fabricant</x:v>
      </x:c>
    </x:row>
    <x:row r="79">
      <x:c r="J79" s="1005" t="str">
        <x:f>IF(AND(LEFT(B79,8)="Onduleur",IF(OR(D79="",E79=""),'Projet'!B7="Raccordé réseau",AND('Projet'!B13&gt;=D79,'Projet'!B13&lt;=E79))),"Onduleur","")</x:f>
      </x:c>
      <x:c r="K79" s="1005" t="str">
        <x:f>IF(J79="Onduleur",F79,"")</x:f>
      </x:c>
      <x:c r="L79" s="1005" t="str">
        <x:f>IF(AND(J79="Onduleur",F79&gt;='Calculs'!$B$19),F79,"")</x:f>
      </x:c>
      <x:c r="M79" s="1005" t="str">
        <x:v>À confirmer fabricant</x:v>
      </x:c>
    </x:row>
    <x:row r="80">
      <x:c r="J80" s="1005" t="str">
        <x:f>IF(AND(LEFT(B80,8)="Onduleur",IF(OR(D80="",E80=""),'Projet'!B7="Raccordé réseau",AND('Projet'!B13&gt;=D80,'Projet'!B13&lt;=E80))),"Onduleur","")</x:f>
      </x:c>
      <x:c r="K80" s="1005" t="str">
        <x:f>IF(J80="Onduleur",F80,"")</x:f>
      </x:c>
      <x:c r="L80" s="1005" t="str">
        <x:f>IF(AND(J80="Onduleur",F80&gt;='Calculs'!$B$19),F80,"")</x:f>
      </x:c>
      <x:c r="M80" s="1005" t="str">
        <x:v>À confirmer fabricant</x:v>
      </x:c>
    </x:row>
    <x:row r="81">
      <x:c r="J81" s="1005" t="str">
        <x:f>IF(AND(LEFT(B81,8)="Onduleur",IF(OR(D81="",E81=""),'Projet'!B7="Raccordé réseau",AND('Projet'!B13&gt;=D81,'Projet'!B13&lt;=E81))),"Onduleur","")</x:f>
      </x:c>
      <x:c r="K81" s="1005" t="str">
        <x:f>IF(J81="Onduleur",F81,"")</x:f>
      </x:c>
      <x:c r="L81" s="1005" t="str">
        <x:f>IF(AND(J81="Onduleur",F81&gt;='Calculs'!$B$19),F81,"")</x:f>
      </x:c>
      <x:c r="M81" s="1005" t="str">
        <x:v>À confirmer fabricant</x:v>
      </x:c>
    </x:row>
    <x:row r="82">
      <x:c r="J82" s="1005" t="str">
        <x:f>IF(AND(LEFT(B82,8)="Onduleur",IF(OR(D82="",E82=""),'Projet'!B7="Raccordé réseau",AND('Projet'!B13&gt;=D82,'Projet'!B13&lt;=E82))),"Onduleur","")</x:f>
      </x:c>
      <x:c r="K82" s="1005" t="str">
        <x:f>IF(J82="Onduleur",F82,"")</x:f>
      </x:c>
      <x:c r="L82" s="1005" t="str">
        <x:f>IF(AND(J82="Onduleur",F82&gt;='Calculs'!$B$19),F82,"")</x:f>
      </x:c>
      <x:c r="M82" s="1005" t="str">
        <x:v>À confirmer fabricant</x:v>
      </x:c>
    </x:row>
    <x:row r="83">
      <x:c r="J83" s="1005" t="str">
        <x:f>IF(AND(LEFT(B83,8)="Onduleur",IF(OR(D83="",E83=""),'Projet'!B7="Raccordé réseau",AND('Projet'!B13&gt;=D83,'Projet'!B13&lt;=E83))),"Onduleur","")</x:f>
      </x:c>
      <x:c r="K83" s="1005" t="str">
        <x:f>IF(J83="Onduleur",F83,"")</x:f>
      </x:c>
      <x:c r="L83" s="1005" t="str">
        <x:f>IF(AND(J83="Onduleur",F83&gt;='Calculs'!$B$19),F83,"")</x:f>
      </x:c>
      <x:c r="M83" s="1005" t="str">
        <x:v>À confirmer fabricant</x:v>
      </x:c>
    </x:row>
    <x:row r="84">
      <x:c r="J84" s="1005" t="str">
        <x:f>IF(AND(LEFT(B84,8)="Onduleur",IF(OR(D84="",E84=""),'Projet'!B7="Raccordé réseau",AND('Projet'!B13&gt;=D84,'Projet'!B13&lt;=E84))),"Onduleur","")</x:f>
      </x:c>
      <x:c r="K84" s="1005" t="str">
        <x:f>IF(J84="Onduleur",F84,"")</x:f>
      </x:c>
      <x:c r="L84" s="1005" t="str">
        <x:f>IF(AND(J84="Onduleur",F84&gt;='Calculs'!$B$19),F84,"")</x:f>
      </x:c>
      <x:c r="M84" s="1005" t="str">
        <x:v>À confirmer fabricant</x:v>
      </x:c>
    </x:row>
    <x:row r="85">
      <x:c r="J85" s="1005" t="str">
        <x:f>IF(AND(LEFT(B85,8)="Onduleur",IF(OR(D85="",E85=""),'Projet'!B7="Raccordé réseau",AND('Projet'!B13&gt;=D85,'Projet'!B13&lt;=E85))),"Onduleur","")</x:f>
      </x:c>
      <x:c r="K85" s="1005" t="str">
        <x:f>IF(J85="Onduleur",F85,"")</x:f>
      </x:c>
      <x:c r="L85" s="1005" t="str">
        <x:f>IF(AND(J85="Onduleur",F85&gt;='Calculs'!$B$19),F85,"")</x:f>
      </x:c>
      <x:c r="M85" s="1005" t="str">
        <x:v>À confirmer fabricant</x:v>
      </x:c>
    </x:row>
    <x:row r="86">
      <x:c r="J86" s="1005" t="str">
        <x:f>IF(AND(LEFT(B86,8)="Onduleur",IF(OR(D86="",E86=""),'Projet'!B7="Raccordé réseau",AND('Projet'!B13&gt;=D86,'Projet'!B13&lt;=E86))),"Onduleur","")</x:f>
      </x:c>
      <x:c r="K86" s="1005" t="str">
        <x:f>IF(J86="Onduleur",F86,"")</x:f>
      </x:c>
      <x:c r="L86" s="1005" t="str">
        <x:f>IF(AND(J86="Onduleur",F86&gt;='Calculs'!$B$19),F86,"")</x:f>
      </x:c>
      <x:c r="M86" s="1005" t="str">
        <x:v>À confirmer fabricant</x:v>
      </x:c>
    </x:row>
    <x:row r="87">
      <x:c r="J87" s="1005" t="str">
        <x:f>IF(AND(LEFT(B87,8)="Onduleur",IF(OR(D87="",E87=""),'Projet'!B7="Raccordé réseau",AND('Projet'!B13&gt;=D87,'Projet'!B13&lt;=E87))),"Onduleur","")</x:f>
      </x:c>
      <x:c r="K87" s="1005" t="str">
        <x:f>IF(J87="Onduleur",F87,"")</x:f>
      </x:c>
      <x:c r="L87" s="1005" t="str">
        <x:f>IF(AND(J87="Onduleur",F87&gt;='Calculs'!$B$19),F87,"")</x:f>
      </x:c>
      <x:c r="M87" s="1005" t="str">
        <x:v>À confirmer fabricant</x:v>
      </x:c>
    </x:row>
    <x:row r="88">
      <x:c r="J88" s="1005" t="str">
        <x:f>IF(AND(LEFT(B88,8)="Onduleur",IF(OR(D88="",E88=""),'Projet'!B7="Raccordé réseau",AND('Projet'!B13&gt;=D88,'Projet'!B13&lt;=E88))),"Onduleur","")</x:f>
      </x:c>
      <x:c r="K88" s="1005" t="str">
        <x:f>IF(J88="Onduleur",F88,"")</x:f>
      </x:c>
      <x:c r="L88" s="1005" t="str">
        <x:f>IF(AND(J88="Onduleur",F88&gt;='Calculs'!$B$19),F88,"")</x:f>
      </x:c>
      <x:c r="M88" s="1005" t="str">
        <x:v>À confirmer fabricant</x:v>
      </x:c>
    </x:row>
    <x:row r="89">
      <x:c r="J89" s="1005" t="str">
        <x:f>IF(AND(LEFT(B89,8)="Onduleur",IF(OR(D89="",E89=""),'Projet'!B7="Raccordé réseau",AND('Projet'!B13&gt;=D89,'Projet'!B13&lt;=E89))),"Onduleur","")</x:f>
      </x:c>
      <x:c r="K89" s="1005" t="str">
        <x:f>IF(J89="Onduleur",F89,"")</x:f>
      </x:c>
      <x:c r="L89" s="1005" t="str">
        <x:f>IF(AND(J89="Onduleur",F89&gt;='Calculs'!$B$19),F89,"")</x:f>
      </x:c>
      <x:c r="M89" s="1005" t="str">
        <x:v>À confirmer fabricant</x:v>
      </x:c>
    </x:row>
    <x:row r="90">
      <x:c r="J90" s="1005" t="str">
        <x:f>IF(AND(LEFT(B90,8)="Onduleur",IF(OR(D90="",E90=""),'Projet'!B7="Raccordé réseau",AND('Projet'!B13&gt;=D90,'Projet'!B13&lt;=E90))),"Onduleur","")</x:f>
      </x:c>
      <x:c r="K90" s="1005" t="str">
        <x:f>IF(J90="Onduleur",F90,"")</x:f>
      </x:c>
      <x:c r="L90" s="1005" t="str">
        <x:f>IF(AND(J90="Onduleur",F90&gt;='Calculs'!$B$19),F90,"")</x:f>
      </x:c>
      <x:c r="M90" s="1005" t="str">
        <x:v>À confirmer fabricant</x:v>
      </x:c>
    </x:row>
    <x:row r="91">
      <x:c r="J91" s="1005" t="str">
        <x:f>IF(AND(LEFT(B91,8)="Onduleur",IF(OR(D91="",E91=""),'Projet'!B7="Raccordé réseau",AND('Projet'!B13&gt;=D91,'Projet'!B13&lt;=E91))),"Onduleur","")</x:f>
      </x:c>
      <x:c r="K91" s="1005" t="str">
        <x:f>IF(J91="Onduleur",F91,"")</x:f>
      </x:c>
      <x:c r="L91" s="1005" t="str">
        <x:f>IF(AND(J91="Onduleur",F91&gt;='Calculs'!$B$19),F91,"")</x:f>
      </x:c>
      <x:c r="M91" s="1005" t="str">
        <x:v>À confirmer fabricant</x:v>
      </x:c>
    </x:row>
    <x:row r="92">
      <x:c r="J92" s="1005" t="str">
        <x:f>IF(AND(LEFT(B92,8)="Onduleur",IF(OR(D92="",E92=""),'Projet'!B7="Raccordé réseau",AND('Projet'!B13&gt;=D92,'Projet'!B13&lt;=E92))),"Onduleur","")</x:f>
      </x:c>
      <x:c r="K92" s="1005" t="str">
        <x:f>IF(J92="Onduleur",F92,"")</x:f>
      </x:c>
      <x:c r="L92" s="1005" t="str">
        <x:f>IF(AND(J92="Onduleur",F92&gt;='Calculs'!$B$19),F92,"")</x:f>
      </x:c>
      <x:c r="M92" s="1005" t="str">
        <x:v>À confirmer fabricant</x:v>
      </x:c>
    </x:row>
    <x:row r="93">
      <x:c r="J93" s="1005" t="str">
        <x:f>IF(AND(LEFT(B93,8)="Onduleur",IF(OR(D93="",E93=""),'Projet'!B7="Raccordé réseau",AND('Projet'!B13&gt;=D93,'Projet'!B13&lt;=E93))),"Onduleur","")</x:f>
      </x:c>
      <x:c r="K93" s="1005" t="str">
        <x:f>IF(J93="Onduleur",F93,"")</x:f>
      </x:c>
      <x:c r="L93" s="1005" t="str">
        <x:f>IF(AND(J93="Onduleur",F93&gt;='Calculs'!$B$19),F93,"")</x:f>
      </x:c>
      <x:c r="M93" s="1005" t="str">
        <x:v>À confirmer fabricant</x:v>
      </x:c>
    </x:row>
    <x:row r="94">
      <x:c r="J94" s="1005" t="str">
        <x:f>IF(AND(LEFT(B94,8)="Onduleur",IF(OR(D94="",E94=""),'Projet'!B7="Raccordé réseau",AND('Projet'!B13&gt;=D94,'Projet'!B13&lt;=E94))),"Onduleur","")</x:f>
      </x:c>
      <x:c r="K94" s="1005" t="str">
        <x:f>IF(J94="Onduleur",F94,"")</x:f>
      </x:c>
      <x:c r="L94" s="1005" t="str">
        <x:f>IF(AND(J94="Onduleur",F94&gt;='Calculs'!$B$19),F94,"")</x:f>
      </x:c>
      <x:c r="M94" s="1005" t="str">
        <x:v>À confirmer fabricant</x:v>
      </x:c>
    </x:row>
    <x:row r="95">
      <x:c r="J95" s="1005" t="str">
        <x:f>IF(AND(LEFT(B95,8)="Onduleur",IF(OR(D95="",E95=""),'Projet'!B7="Raccordé réseau",AND('Projet'!B13&gt;=D95,'Projet'!B13&lt;=E95))),"Onduleur","")</x:f>
      </x:c>
      <x:c r="K95" s="1005" t="str">
        <x:f>IF(J95="Onduleur",F95,"")</x:f>
      </x:c>
      <x:c r="L95" s="1005" t="str">
        <x:f>IF(AND(J95="Onduleur",F95&gt;='Calculs'!$B$19),F95,"")</x:f>
      </x:c>
      <x:c r="M95" s="1005" t="str">
        <x:v>À confirmer fabricant</x:v>
      </x:c>
    </x:row>
    <x:row r="96">
      <x:c r="J96" s="1005" t="str">
        <x:f>IF(AND(LEFT(B96,8)="Onduleur",IF(OR(D96="",E96=""),'Projet'!B7="Raccordé réseau",AND('Projet'!B13&gt;=D96,'Projet'!B13&lt;=E96))),"Onduleur","")</x:f>
      </x:c>
      <x:c r="K96" s="1005" t="str">
        <x:f>IF(J96="Onduleur",F96,"")</x:f>
      </x:c>
      <x:c r="L96" s="1005" t="str">
        <x:f>IF(AND(J96="Onduleur",F96&gt;='Calculs'!$B$19),F96,"")</x:f>
      </x:c>
      <x:c r="M96" s="1005" t="str">
        <x:v>À confirmer fabricant</x:v>
      </x:c>
    </x:row>
    <x:row r="97">
      <x:c r="J97" s="1005" t="str">
        <x:f>IF(AND(LEFT(B97,8)="Onduleur",IF(OR(D97="",E97=""),'Projet'!B7="Raccordé réseau",AND('Projet'!B13&gt;=D97,'Projet'!B13&lt;=E97))),"Onduleur","")</x:f>
      </x:c>
      <x:c r="K97" s="1005" t="str">
        <x:f>IF(J97="Onduleur",F97,"")</x:f>
      </x:c>
      <x:c r="L97" s="1005" t="str">
        <x:f>IF(AND(J97="Onduleur",F97&gt;='Calculs'!$B$19),F97,"")</x:f>
      </x:c>
      <x:c r="M97" s="1005" t="str">
        <x:v>À confirmer fabricant</x:v>
      </x:c>
    </x:row>
    <x:row r="98">
      <x:c r="J98" s="1005" t="str">
        <x:f>IF(AND(LEFT(B98,8)="Onduleur",IF(OR(D98="",E98=""),'Projet'!B7="Raccordé réseau",AND('Projet'!B13&gt;=D98,'Projet'!B13&lt;=E98))),"Onduleur","")</x:f>
      </x:c>
      <x:c r="K98" s="1005" t="str">
        <x:f>IF(J98="Onduleur",F98,"")</x:f>
      </x:c>
      <x:c r="L98" s="1005" t="str">
        <x:f>IF(AND(J98="Onduleur",F98&gt;='Calculs'!$B$19),F98,"")</x:f>
      </x:c>
      <x:c r="M98" s="1005" t="str">
        <x:v>À confirmer fabricant</x:v>
      </x:c>
    </x:row>
    <x:row r="99">
      <x:c r="J99" s="1005" t="str">
        <x:f>IF(AND(LEFT(B99,8)="Onduleur",IF(OR(D99="",E99=""),'Projet'!B7="Raccordé réseau",AND('Projet'!B13&gt;=D99,'Projet'!B13&lt;=E99))),"Onduleur","")</x:f>
      </x:c>
      <x:c r="K99" s="1005" t="str">
        <x:f>IF(J99="Onduleur",F99,"")</x:f>
      </x:c>
      <x:c r="L99" s="1005" t="str">
        <x:f>IF(AND(J99="Onduleur",F99&gt;='Calculs'!$B$19),F99,"")</x:f>
      </x:c>
      <x:c r="M99" s="1005" t="str">
        <x:v>À confirmer fabricant</x:v>
      </x:c>
    </x:row>
    <x:row r="100">
      <x:c r="J100" s="1005" t="str">
        <x:f>IF(AND(LEFT(B100,8)="Onduleur",IF(OR(D100="",E100=""),'Projet'!B7="Raccordé réseau",AND('Projet'!B13&gt;=D100,'Projet'!B13&lt;=E100))),"Onduleur","")</x:f>
      </x:c>
      <x:c r="K100" s="1005" t="str">
        <x:f>IF(J100="Onduleur",F100,"")</x:f>
      </x:c>
      <x:c r="L100" s="1005" t="str">
        <x:f>IF(AND(J100="Onduleur",F100&gt;='Calculs'!$B$19),F100,"")</x:f>
      </x:c>
      <x:c r="M100" s="1005" t="str">
        <x:v>À confirmer fabricant</x:v>
      </x:c>
    </x:row>
    <x:row r="101">
      <x:c r="J101" s="1005" t="str">
        <x:f>IF(AND(LEFT(B101,8)="Onduleur",IF(OR(D101="",E101=""),'Projet'!B7="Raccordé réseau",AND('Projet'!B13&gt;=D101,'Projet'!B13&lt;=E101))),"Onduleur","")</x:f>
      </x:c>
      <x:c r="K101" s="1005" t="str">
        <x:f>IF(J101="Onduleur",F101,"")</x:f>
      </x:c>
      <x:c r="L101" s="1005" t="str">
        <x:f>IF(AND(J101="Onduleur",F101&gt;='Calculs'!$B$19),F101,"")</x:f>
      </x:c>
      <x:c r="M101" s="1005" t="str">
        <x:v>À confirmer fabricant</x:v>
      </x:c>
    </x:row>
    <x:row r="102">
      <x:c r="J102" s="1005" t="str">
        <x:f>IF(AND(LEFT(B102,8)="Onduleur",IF(OR(D102="",E102=""),'Projet'!B7="Raccordé réseau",AND('Projet'!B13&gt;=D102,'Projet'!B13&lt;=E102))),"Onduleur","")</x:f>
      </x:c>
      <x:c r="K102" s="1005" t="str">
        <x:f>IF(J102="Onduleur",F102,"")</x:f>
      </x:c>
      <x:c r="L102" s="1005" t="str">
        <x:f>IF(AND(J102="Onduleur",F102&gt;='Calculs'!$B$19),F102,"")</x:f>
      </x:c>
      <x:c r="M102" s="1005" t="str">
        <x:v>À confirmer fabricant</x:v>
      </x:c>
    </x:row>
    <x:row r="103">
      <x:c r="J103" s="1005" t="str">
        <x:f>IF(AND(LEFT(B103,8)="Onduleur",IF(OR(D103="",E103=""),'Projet'!B7="Raccordé réseau",AND('Projet'!B13&gt;=D103,'Projet'!B13&lt;=E103))),"Onduleur","")</x:f>
      </x:c>
      <x:c r="K103" s="1005" t="str">
        <x:f>IF(J103="Onduleur",F103,"")</x:f>
      </x:c>
      <x:c r="L103" s="1005" t="str">
        <x:f>IF(AND(J103="Onduleur",F103&gt;='Calculs'!$B$19),F103,"")</x:f>
      </x:c>
      <x:c r="M103" s="1005" t="str">
        <x:v>À confirmer fabricant</x:v>
      </x:c>
    </x:row>
    <x:row r="104">
      <x:c r="J104" s="1005" t="str">
        <x:f>IF(AND(LEFT(B104,8)="Onduleur",IF(OR(D104="",E104=""),'Projet'!B7="Raccordé réseau",AND('Projet'!B13&gt;=D104,'Projet'!B13&lt;=E104))),"Onduleur","")</x:f>
      </x:c>
      <x:c r="K104" s="1005" t="str">
        <x:f>IF(J104="Onduleur",F104,"")</x:f>
      </x:c>
      <x:c r="L104" s="1005" t="str">
        <x:f>IF(AND(J104="Onduleur",F104&gt;='Calculs'!$B$19),F104,"")</x:f>
      </x:c>
      <x:c r="M104" s="1005" t="str">
        <x:v>À confirmer fabricant</x:v>
      </x:c>
    </x:row>
    <x:row r="105">
      <x:c r="J105" s="1005" t="str">
        <x:f>IF(AND(LEFT(B105,8)="Onduleur",IF(OR(D105="",E105=""),'Projet'!B7="Raccordé réseau",AND('Projet'!B13&gt;=D105,'Projet'!B13&lt;=E105))),"Onduleur","")</x:f>
      </x:c>
      <x:c r="K105" s="1005" t="str">
        <x:f>IF(J105="Onduleur",F105,"")</x:f>
      </x:c>
      <x:c r="L105" s="1005" t="str">
        <x:f>IF(AND(J105="Onduleur",F105&gt;='Calculs'!$B$19),F105,"")</x:f>
      </x:c>
      <x:c r="M105" s="1005" t="str">
        <x:v>À confirmer fabricant</x:v>
      </x:c>
    </x:row>
    <x:row r="106">
      <x:c r="J106" s="1005" t="str">
        <x:f>IF(AND(LEFT(B106,8)="Onduleur",IF(OR(D106="",E106=""),'Projet'!B7="Raccordé réseau",AND('Projet'!B13&gt;=D106,'Projet'!B13&lt;=E106))),"Onduleur","")</x:f>
      </x:c>
      <x:c r="K106" s="1005" t="str">
        <x:f>IF(J106="Onduleur",F106,"")</x:f>
      </x:c>
      <x:c r="L106" s="1005" t="str">
        <x:f>IF(AND(J106="Onduleur",F106&gt;='Calculs'!$B$19),F106,"")</x:f>
      </x:c>
      <x:c r="M106" s="1005" t="str">
        <x:v>À confirmer fabricant</x:v>
      </x:c>
    </x:row>
    <x:row r="107">
      <x:c r="J107" s="1005" t="str">
        <x:f>IF(AND(LEFT(B107,8)="Onduleur",IF(OR(D107="",E107=""),'Projet'!B7="Raccordé réseau",AND('Projet'!B13&gt;=D107,'Projet'!B13&lt;=E107))),"Onduleur","")</x:f>
      </x:c>
      <x:c r="K107" s="1005" t="str">
        <x:f>IF(J107="Onduleur",F107,"")</x:f>
      </x:c>
      <x:c r="L107" s="1005" t="str">
        <x:f>IF(AND(J107="Onduleur",F107&gt;='Calculs'!$B$19),F107,"")</x:f>
      </x:c>
      <x:c r="M107" s="1005" t="str">
        <x:v>À confirmer fabricant</x:v>
      </x:c>
    </x:row>
    <x:row r="108">
      <x:c r="J108" s="1005" t="str">
        <x:f>IF(AND(LEFT(B108,8)="Onduleur",IF(OR(D108="",E108=""),'Projet'!B7="Raccordé réseau",AND('Projet'!B13&gt;=D108,'Projet'!B13&lt;=E108))),"Onduleur","")</x:f>
      </x:c>
      <x:c r="K108" s="1005" t="str">
        <x:f>IF(J108="Onduleur",F108,"")</x:f>
      </x:c>
      <x:c r="L108" s="1005" t="str">
        <x:f>IF(AND(J108="Onduleur",F108&gt;='Calculs'!$B$19),F108,"")</x:f>
      </x:c>
      <x:c r="M108" s="1005" t="str">
        <x:v>À confirmer fabricant</x:v>
      </x:c>
    </x:row>
    <x:row r="109">
      <x:c r="J109" s="1005" t="str">
        <x:f>IF(AND(LEFT(B109,8)="Onduleur",IF(OR(D109="",E109=""),'Projet'!B7="Raccordé réseau",AND('Projet'!B13&gt;=D109,'Projet'!B13&lt;=E109))),"Onduleur","")</x:f>
      </x:c>
      <x:c r="K109" s="1005" t="str">
        <x:f>IF(J109="Onduleur",F109,"")</x:f>
      </x:c>
      <x:c r="L109" s="1005" t="str">
        <x:f>IF(AND(J109="Onduleur",F109&gt;='Calculs'!$B$19),F109,"")</x:f>
      </x:c>
      <x:c r="M109" s="1005" t="str">
        <x:v>À confirmer fabricant</x:v>
      </x:c>
    </x:row>
    <x:row r="110">
      <x:c r="J110" s="1005" t="str">
        <x:f>IF(AND(LEFT(B110,8)="Onduleur",IF(OR(D110="",E110=""),'Projet'!B7="Raccordé réseau",AND('Projet'!B13&gt;=D110,'Projet'!B13&lt;=E110))),"Onduleur","")</x:f>
      </x:c>
      <x:c r="K110" s="1005" t="str">
        <x:f>IF(J110="Onduleur",F110,"")</x:f>
      </x:c>
      <x:c r="L110" s="1005" t="str">
        <x:f>IF(AND(J110="Onduleur",F110&gt;='Calculs'!$B$19),F110,"")</x:f>
      </x:c>
      <x:c r="M110" s="1005" t="str">
        <x:v>À confirmer fabricant</x:v>
      </x:c>
    </x:row>
    <x:row r="111">
      <x:c r="J111" s="1005" t="str">
        <x:f>IF(AND(LEFT(B111,8)="Onduleur",IF(OR(D111="",E111=""),'Projet'!B7="Raccordé réseau",AND('Projet'!B13&gt;=D111,'Projet'!B13&lt;=E111))),"Onduleur","")</x:f>
      </x:c>
      <x:c r="K111" s="1005" t="str">
        <x:f>IF(J111="Onduleur",F111,"")</x:f>
      </x:c>
      <x:c r="L111" s="1005" t="str">
        <x:f>IF(AND(J111="Onduleur",F111&gt;='Calculs'!$B$19),F111,"")</x:f>
      </x:c>
      <x:c r="M111" s="1005" t="str">
        <x:v>À confirmer fabricant</x:v>
      </x:c>
    </x:row>
    <x:row r="112">
      <x:c r="J112" s="1005" t="str">
        <x:f>IF(AND(LEFT(B112,8)="Onduleur",IF(OR(D112="",E112=""),'Projet'!B7="Raccordé réseau",AND('Projet'!B13&gt;=D112,'Projet'!B13&lt;=E112))),"Onduleur","")</x:f>
      </x:c>
      <x:c r="K112" s="1005" t="str">
        <x:f>IF(J112="Onduleur",F112,"")</x:f>
      </x:c>
      <x:c r="L112" s="1005" t="str">
        <x:f>IF(AND(J112="Onduleur",F112&gt;='Calculs'!$B$19),F112,"")</x:f>
      </x:c>
      <x:c r="M112" s="1005" t="str">
        <x:v>À confirmer fabricant</x:v>
      </x:c>
    </x:row>
    <x:row r="113">
      <x:c r="J113" s="1005" t="str">
        <x:f>IF(AND(LEFT(B113,8)="Onduleur",IF(OR(D113="",E113=""),'Projet'!B7="Raccordé réseau",AND('Projet'!B13&gt;=D113,'Projet'!B13&lt;=E113))),"Onduleur","")</x:f>
      </x:c>
      <x:c r="K113" s="1005" t="str">
        <x:f>IF(J113="Onduleur",F113,"")</x:f>
      </x:c>
      <x:c r="L113" s="1005" t="str">
        <x:f>IF(AND(J113="Onduleur",F113&gt;='Calculs'!$B$19),F113,"")</x:f>
      </x:c>
      <x:c r="M113" s="1005" t="str">
        <x:v>À confirmer fabricant</x:v>
      </x:c>
    </x:row>
    <x:row r="114">
      <x:c r="J114" s="1005" t="str">
        <x:f>IF(AND(LEFT(B114,8)="Onduleur",IF(OR(D114="",E114=""),'Projet'!B7="Raccordé réseau",AND('Projet'!B13&gt;=D114,'Projet'!B13&lt;=E114))),"Onduleur","")</x:f>
      </x:c>
      <x:c r="K114" s="1005" t="str">
        <x:f>IF(J114="Onduleur",F114,"")</x:f>
      </x:c>
      <x:c r="L114" s="1005" t="str">
        <x:f>IF(AND(J114="Onduleur",F114&gt;='Calculs'!$B$19),F114,"")</x:f>
      </x:c>
      <x:c r="M114" s="1005" t="str">
        <x:v>À confirmer fabricant</x:v>
      </x:c>
    </x:row>
    <x:row r="115">
      <x:c r="J115" s="1005" t="str">
        <x:f>IF(AND(LEFT(B115,8)="Onduleur",IF(OR(D115="",E115=""),'Projet'!B7="Raccordé réseau",AND('Projet'!B13&gt;=D115,'Projet'!B13&lt;=E115))),"Onduleur","")</x:f>
      </x:c>
      <x:c r="K115" s="1005" t="str">
        <x:f>IF(J115="Onduleur",F115,"")</x:f>
      </x:c>
      <x:c r="L115" s="1005" t="str">
        <x:f>IF(AND(J115="Onduleur",F115&gt;='Calculs'!$B$19),F115,"")</x:f>
      </x:c>
      <x:c r="M115" s="1005" t="str">
        <x:v>À confirmer fabricant</x:v>
      </x:c>
    </x:row>
    <x:row r="116">
      <x:c r="J116" s="1005" t="str">
        <x:f>IF(AND(LEFT(B116,8)="Onduleur",IF(OR(D116="",E116=""),'Projet'!B7="Raccordé réseau",AND('Projet'!B13&gt;=D116,'Projet'!B13&lt;=E116))),"Onduleur","")</x:f>
      </x:c>
      <x:c r="K116" s="1005" t="str">
        <x:f>IF(J116="Onduleur",F116,"")</x:f>
      </x:c>
      <x:c r="L116" s="1005" t="str">
        <x:f>IF(AND(J116="Onduleur",F116&gt;='Calculs'!$B$19),F116,"")</x:f>
      </x:c>
      <x:c r="M116" s="1005" t="str">
        <x:v>À confirmer fabricant</x:v>
      </x:c>
    </x:row>
    <x:row r="117">
      <x:c r="J117" s="1005" t="str">
        <x:f>IF(AND(LEFT(B117,8)="Onduleur",IF(OR(D117="",E117=""),'Projet'!B7="Raccordé réseau",AND('Projet'!B13&gt;=D117,'Projet'!B13&lt;=E117))),"Onduleur","")</x:f>
      </x:c>
      <x:c r="K117" s="1005" t="str">
        <x:f>IF(J117="Onduleur",F117,"")</x:f>
      </x:c>
      <x:c r="L117" s="1005" t="str">
        <x:f>IF(AND(J117="Onduleur",F117&gt;='Calculs'!$B$19),F117,"")</x:f>
      </x:c>
      <x:c r="M117" s="1005" t="str">
        <x:v>À confirmer fabricant</x:v>
      </x:c>
    </x:row>
    <x:row r="118">
      <x:c r="J118" s="1005" t="str">
        <x:f>IF(AND(LEFT(B118,8)="Onduleur",IF(OR(D118="",E118=""),'Projet'!B7="Raccordé réseau",AND('Projet'!B13&gt;=D118,'Projet'!B13&lt;=E118))),"Onduleur","")</x:f>
      </x:c>
      <x:c r="K118" s="1005" t="str">
        <x:f>IF(J118="Onduleur",F118,"")</x:f>
      </x:c>
      <x:c r="L118" s="1005" t="str">
        <x:f>IF(AND(J118="Onduleur",F118&gt;='Calculs'!$B$19),F118,"")</x:f>
      </x:c>
      <x:c r="M118" s="1005" t="str">
        <x:v>À confirmer fabricant</x:v>
      </x:c>
    </x:row>
    <x:row r="119">
      <x:c r="J119" s="1005" t="str">
        <x:f>IF(AND(LEFT(B119,8)="Onduleur",IF(OR(D119="",E119=""),'Projet'!B7="Raccordé réseau",AND('Projet'!B13&gt;=D119,'Projet'!B13&lt;=E119))),"Onduleur","")</x:f>
      </x:c>
      <x:c r="K119" s="1005" t="str">
        <x:f>IF(J119="Onduleur",F119,"")</x:f>
      </x:c>
      <x:c r="L119" s="1005" t="str">
        <x:f>IF(AND(J119="Onduleur",F119&gt;='Calculs'!$B$19),F119,"")</x:f>
      </x:c>
      <x:c r="M119" s="1005" t="str">
        <x:v>À confirmer fabricant</x:v>
      </x:c>
    </x:row>
    <x:row r="120">
      <x:c r="J120" s="1005" t="str">
        <x:f>IF(AND(LEFT(B120,8)="Onduleur",IF(OR(D120="",E120=""),'Projet'!B7="Raccordé réseau",AND('Projet'!B13&gt;=D120,'Projet'!B13&lt;=E120))),"Onduleur","")</x:f>
      </x:c>
      <x:c r="K120" s="1005" t="str">
        <x:f>IF(J120="Onduleur",F120,"")</x:f>
      </x:c>
      <x:c r="L120" s="1005" t="str">
        <x:f>IF(AND(J120="Onduleur",F120&gt;='Calculs'!$B$19),F120,"")</x:f>
      </x:c>
      <x:c r="M120" s="1005" t="str">
        <x:v>À confirmer fabricant</x:v>
      </x:c>
    </x:row>
    <x:row r="121">
      <x:c r="J121" s="1005" t="str">
        <x:f>IF(AND(LEFT(B121,8)="Onduleur",IF(OR(D121="",E121=""),'Projet'!B7="Raccordé réseau",AND('Projet'!B13&gt;=D121,'Projet'!B13&lt;=E121))),"Onduleur","")</x:f>
      </x:c>
      <x:c r="K121" s="1005" t="str">
        <x:f>IF(J121="Onduleur",F121,"")</x:f>
      </x:c>
      <x:c r="L121" s="1005" t="str">
        <x:f>IF(AND(J121="Onduleur",F121&gt;='Calculs'!$B$19),F121,"")</x:f>
      </x:c>
      <x:c r="M121" s="1005" t="str">
        <x:v>À confirmer fabricant</x:v>
      </x:c>
    </x:row>
    <x:row r="122">
      <x:c r="J122" s="1005" t="str">
        <x:f>IF(AND(LEFT(B122,8)="Onduleur",IF(OR(D122="",E122=""),'Projet'!B7="Raccordé réseau",AND('Projet'!B13&gt;=D122,'Projet'!B13&lt;=E122))),"Onduleur","")</x:f>
      </x:c>
      <x:c r="K122" s="1005" t="str">
        <x:f>IF(J122="Onduleur",F122,"")</x:f>
      </x:c>
      <x:c r="L122" s="1005" t="str">
        <x:f>IF(AND(J122="Onduleur",F122&gt;='Calculs'!$B$19),F122,"")</x:f>
      </x:c>
      <x:c r="M122" s="1005" t="str">
        <x:v>À confirmer fabricant</x:v>
      </x:c>
    </x:row>
    <x:row r="123">
      <x:c r="J123" s="1005" t="str">
        <x:f>IF(AND(LEFT(B123,8)="Onduleur",IF(OR(D123="",E123=""),'Projet'!B7="Raccordé réseau",AND('Projet'!B13&gt;=D123,'Projet'!B13&lt;=E123))),"Onduleur","")</x:f>
      </x:c>
      <x:c r="K123" s="1005" t="str">
        <x:f>IF(J123="Onduleur",F123,"")</x:f>
      </x:c>
      <x:c r="L123" s="1005" t="str">
        <x:f>IF(AND(J123="Onduleur",F123&gt;='Calculs'!$B$19),F123,"")</x:f>
      </x:c>
      <x:c r="M123" s="1005" t="str">
        <x:v>À confirmer fabricant</x:v>
      </x:c>
    </x:row>
    <x:row r="124">
      <x:c r="J124" s="1005" t="str">
        <x:f>IF(AND(LEFT(B124,8)="Onduleur",IF(OR(D124="",E124=""),'Projet'!B7="Raccordé réseau",AND('Projet'!B13&gt;=D124,'Projet'!B13&lt;=E124))),"Onduleur","")</x:f>
      </x:c>
      <x:c r="K124" s="1005" t="str">
        <x:f>IF(J124="Onduleur",F124,"")</x:f>
      </x:c>
      <x:c r="L124" s="1005" t="str">
        <x:f>IF(AND(J124="Onduleur",F124&gt;='Calculs'!$B$19),F124,"")</x:f>
      </x:c>
      <x:c r="M124" s="1005" t="str">
        <x:v>À confirmer fabricant</x:v>
      </x:c>
    </x:row>
    <x:row r="125">
      <x:c r="J125" s="1005" t="str">
        <x:f>IF(AND(LEFT(B125,8)="Onduleur",IF(OR(D125="",E125=""),'Projet'!B7="Raccordé réseau",AND('Projet'!B13&gt;=D125,'Projet'!B13&lt;=E125))),"Onduleur","")</x:f>
      </x:c>
      <x:c r="K125" s="1005" t="str">
        <x:f>IF(J125="Onduleur",F125,"")</x:f>
      </x:c>
      <x:c r="L125" s="1005" t="str">
        <x:f>IF(AND(J125="Onduleur",F125&gt;='Calculs'!$B$19),F125,"")</x:f>
      </x:c>
      <x:c r="M125" s="1005" t="str">
        <x:v>À confirmer fabricant</x:v>
      </x:c>
    </x:row>
    <x:row r="126">
      <x:c r="J126" s="1005" t="str">
        <x:f>IF(AND(LEFT(B126,8)="Onduleur",IF(OR(D126="",E126=""),'Projet'!B7="Raccordé réseau",AND('Projet'!B13&gt;=D126,'Projet'!B13&lt;=E126))),"Onduleur","")</x:f>
      </x:c>
      <x:c r="K126" s="1005" t="str">
        <x:f>IF(J126="Onduleur",F126,"")</x:f>
      </x:c>
      <x:c r="L126" s="1005" t="str">
        <x:f>IF(AND(J126="Onduleur",F126&gt;='Calculs'!$B$19),F126,"")</x:f>
      </x:c>
      <x:c r="M126" s="1005" t="str">
        <x:v>À confirmer fabricant</x:v>
      </x:c>
    </x:row>
    <x:row r="127">
      <x:c r="J127" s="1005" t="str">
        <x:f>IF(AND(LEFT(B127,8)="Onduleur",IF(OR(D127="",E127=""),'Projet'!B7="Raccordé réseau",AND('Projet'!B13&gt;=D127,'Projet'!B13&lt;=E127))),"Onduleur","")</x:f>
      </x:c>
      <x:c r="K127" s="1005" t="str">
        <x:f>IF(J127="Onduleur",F127,"")</x:f>
      </x:c>
      <x:c r="L127" s="1005" t="str">
        <x:f>IF(AND(J127="Onduleur",F127&gt;='Calculs'!$B$19),F127,"")</x:f>
      </x:c>
      <x:c r="M127" s="1005" t="str">
        <x:v>À confirmer fabricant</x:v>
      </x:c>
    </x:row>
    <x:row r="128">
      <x:c r="J128" s="1005" t="str">
        <x:f>IF(AND(LEFT(B128,8)="Onduleur",IF(OR(D128="",E128=""),'Projet'!B7="Raccordé réseau",AND('Projet'!B13&gt;=D128,'Projet'!B13&lt;=E128))),"Onduleur","")</x:f>
      </x:c>
      <x:c r="K128" s="1005" t="str">
        <x:f>IF(J128="Onduleur",F128,"")</x:f>
      </x:c>
      <x:c r="L128" s="1005" t="str">
        <x:f>IF(AND(J128="Onduleur",F128&gt;='Calculs'!$B$19),F128,"")</x:f>
      </x:c>
      <x:c r="M128" s="1005" t="str">
        <x:v>À confirmer fabricant</x:v>
      </x:c>
    </x:row>
    <x:row r="129">
      <x:c r="J129" s="1005" t="str">
        <x:f>IF(AND(LEFT(B129,8)="Onduleur",IF(OR(D129="",E129=""),'Projet'!B7="Raccordé réseau",AND('Projet'!B13&gt;=D129,'Projet'!B13&lt;=E129))),"Onduleur","")</x:f>
      </x:c>
      <x:c r="K129" s="1005" t="str">
        <x:f>IF(J129="Onduleur",F129,"")</x:f>
      </x:c>
      <x:c r="L129" s="1005" t="str">
        <x:f>IF(AND(J129="Onduleur",F129&gt;='Calculs'!$B$19),F129,"")</x:f>
      </x:c>
      <x:c r="M129" s="1005" t="str">
        <x:v>À confirmer fabricant</x:v>
      </x:c>
    </x:row>
    <x:row r="130">
      <x:c r="J130" s="1005" t="str">
        <x:f>IF(AND(LEFT(B130,8)="Onduleur",IF(OR(D130="",E130=""),'Projet'!B7="Raccordé réseau",AND('Projet'!B13&gt;=D130,'Projet'!B13&lt;=E130))),"Onduleur","")</x:f>
      </x:c>
      <x:c r="K130" s="1005" t="str">
        <x:f>IF(J130="Onduleur",F130,"")</x:f>
      </x:c>
      <x:c r="L130" s="1005" t="str">
        <x:f>IF(AND(J130="Onduleur",F130&gt;='Calculs'!$B$19),F130,"")</x:f>
      </x:c>
      <x:c r="M130" s="1005" t="str">
        <x:v>À confirmer fabricant</x:v>
      </x:c>
    </x:row>
    <x:row r="131">
      <x:c r="J131" s="1005" t="str">
        <x:f>IF(AND(LEFT(B131,8)="Onduleur",IF(OR(D131="",E131=""),'Projet'!B7="Raccordé réseau",AND('Projet'!B13&gt;=D131,'Projet'!B13&lt;=E131))),"Onduleur","")</x:f>
      </x:c>
      <x:c r="K131" s="1005" t="str">
        <x:f>IF(J131="Onduleur",F131,"")</x:f>
      </x:c>
      <x:c r="L131" s="1005" t="str">
        <x:f>IF(AND(J131="Onduleur",F131&gt;='Calculs'!$B$19),F131,"")</x:f>
      </x:c>
      <x:c r="M131" s="1005" t="str">
        <x:v>À confirmer fabricant</x:v>
      </x:c>
    </x:row>
    <x:row r="132">
      <x:c r="J132" s="1005" t="str">
        <x:f>IF(AND(LEFT(B132,8)="Onduleur",IF(OR(D132="",E132=""),'Projet'!B7="Raccordé réseau",AND('Projet'!B13&gt;=D132,'Projet'!B13&lt;=E132))),"Onduleur","")</x:f>
      </x:c>
      <x:c r="K132" s="1005" t="str">
        <x:f>IF(J132="Onduleur",F132,"")</x:f>
      </x:c>
      <x:c r="L132" s="1005" t="str">
        <x:f>IF(AND(J132="Onduleur",F132&gt;='Calculs'!$B$19),F132,"")</x:f>
      </x:c>
      <x:c r="M132" s="1005" t="str">
        <x:v>À confirmer fabricant</x:v>
      </x:c>
    </x:row>
    <x:row r="133">
      <x:c r="J133" s="1005" t="str">
        <x:f>IF(AND(LEFT(B133,8)="Onduleur",IF(OR(D133="",E133=""),'Projet'!B7="Raccordé réseau",AND('Projet'!B13&gt;=D133,'Projet'!B13&lt;=E133))),"Onduleur","")</x:f>
      </x:c>
      <x:c r="K133" s="1005" t="str">
        <x:f>IF(J133="Onduleur",F133,"")</x:f>
      </x:c>
      <x:c r="L133" s="1005" t="str">
        <x:f>IF(AND(J133="Onduleur",F133&gt;='Calculs'!$B$19),F133,"")</x:f>
      </x:c>
      <x:c r="M133" s="1005" t="str">
        <x:v>À confirmer fabricant</x:v>
      </x:c>
    </x:row>
    <x:row r="134">
      <x:c r="J134" s="1005" t="str">
        <x:f>IF(AND(LEFT(B134,8)="Onduleur",IF(OR(D134="",E134=""),'Projet'!B7="Raccordé réseau",AND('Projet'!B13&gt;=D134,'Projet'!B13&lt;=E134))),"Onduleur","")</x:f>
      </x:c>
      <x:c r="K134" s="1005" t="str">
        <x:f>IF(J134="Onduleur",F134,"")</x:f>
      </x:c>
      <x:c r="L134" s="1005" t="str">
        <x:f>IF(AND(J134="Onduleur",F134&gt;='Calculs'!$B$19),F134,"")</x:f>
      </x:c>
      <x:c r="M134" s="1005" t="str">
        <x:v>À confirmer fabricant</x:v>
      </x:c>
    </x:row>
    <x:row r="135">
      <x:c r="J135" s="1005" t="str">
        <x:f>IF(AND(LEFT(B135,8)="Onduleur",IF(OR(D135="",E135=""),'Projet'!B7="Raccordé réseau",AND('Projet'!B13&gt;=D135,'Projet'!B13&lt;=E135))),"Onduleur","")</x:f>
      </x:c>
      <x:c r="K135" s="1005" t="str">
        <x:f>IF(J135="Onduleur",F135,"")</x:f>
      </x:c>
      <x:c r="L135" s="1005" t="str">
        <x:f>IF(AND(J135="Onduleur",F135&gt;='Calculs'!$B$19),F135,"")</x:f>
      </x:c>
      <x:c r="M135" s="1005" t="str">
        <x:v>À confirmer fabricant</x:v>
      </x:c>
    </x:row>
    <x:row r="136">
      <x:c r="J136" s="1005" t="str">
        <x:f>IF(AND(LEFT(B136,8)="Onduleur",IF(OR(D136="",E136=""),'Projet'!B7="Raccordé réseau",AND('Projet'!B13&gt;=D136,'Projet'!B13&lt;=E136))),"Onduleur","")</x:f>
      </x:c>
      <x:c r="K136" s="1005" t="str">
        <x:f>IF(J136="Onduleur",F136,"")</x:f>
      </x:c>
      <x:c r="L136" s="1005" t="str">
        <x:f>IF(AND(J136="Onduleur",F136&gt;='Calculs'!$B$19),F136,"")</x:f>
      </x:c>
      <x:c r="M136" s="1005" t="str">
        <x:v>À confirmer fabricant</x:v>
      </x:c>
    </x:row>
    <x:row r="137">
      <x:c r="J137" s="1005" t="str">
        <x:f>IF(AND(LEFT(B137,8)="Onduleur",IF(OR(D137="",E137=""),'Projet'!B7="Raccordé réseau",AND('Projet'!B13&gt;=D137,'Projet'!B13&lt;=E137))),"Onduleur","")</x:f>
      </x:c>
      <x:c r="K137" s="1005" t="str">
        <x:f>IF(J137="Onduleur",F137,"")</x:f>
      </x:c>
      <x:c r="L137" s="1005" t="str">
        <x:f>IF(AND(J137="Onduleur",F137&gt;='Calculs'!$B$19),F137,"")</x:f>
      </x:c>
      <x:c r="M137" s="1005" t="str">
        <x:v>À confirmer fabricant</x:v>
      </x:c>
    </x:row>
    <x:row r="138">
      <x:c r="J138" s="1005" t="str">
        <x:f>IF(AND(LEFT(B138,8)="Onduleur",IF(OR(D138="",E138=""),'Projet'!B7="Raccordé réseau",AND('Projet'!B13&gt;=D138,'Projet'!B13&lt;=E138))),"Onduleur","")</x:f>
      </x:c>
      <x:c r="K138" s="1005" t="str">
        <x:f>IF(J138="Onduleur",F138,"")</x:f>
      </x:c>
      <x:c r="L138" s="1005" t="str">
        <x:f>IF(AND(J138="Onduleur",F138&gt;='Calculs'!$B$19),F138,"")</x:f>
      </x:c>
      <x:c r="M138" s="1005" t="str">
        <x:v>À confirmer fabricant</x:v>
      </x:c>
    </x:row>
    <x:row r="139">
      <x:c r="J139" s="1005" t="str">
        <x:f>IF(AND(LEFT(B139,8)="Onduleur",IF(OR(D139="",E139=""),'Projet'!B7="Raccordé réseau",AND('Projet'!B13&gt;=D139,'Projet'!B13&lt;=E139))),"Onduleur","")</x:f>
      </x:c>
      <x:c r="K139" s="1005" t="str">
        <x:f>IF(J139="Onduleur",F139,"")</x:f>
      </x:c>
      <x:c r="L139" s="1005" t="str">
        <x:f>IF(AND(J139="Onduleur",F139&gt;='Calculs'!$B$19),F139,"")</x:f>
      </x:c>
      <x:c r="M139" s="1005" t="str">
        <x:v>À confirmer fabricant</x:v>
      </x:c>
    </x:row>
    <x:row r="140">
      <x:c r="J140" s="1005" t="str">
        <x:f>IF(AND(LEFT(B140,8)="Onduleur",IF(OR(D140="",E140=""),'Projet'!B7="Raccordé réseau",AND('Projet'!B13&gt;=D140,'Projet'!B13&lt;=E140))),"Onduleur","")</x:f>
      </x:c>
      <x:c r="K140" s="1005" t="str">
        <x:f>IF(J140="Onduleur",F140,"")</x:f>
      </x:c>
      <x:c r="L140" s="1005" t="str">
        <x:f>IF(AND(J140="Onduleur",F140&gt;='Calculs'!$B$19),F140,"")</x:f>
      </x:c>
      <x:c r="M140" s="1005" t="str">
        <x:v>À confirmer fabricant</x:v>
      </x:c>
    </x:row>
    <x:row r="141">
      <x:c r="J141" s="1005" t="str">
        <x:f>IF(AND(LEFT(B141,8)="Onduleur",IF(OR(D141="",E141=""),'Projet'!B7="Raccordé réseau",AND('Projet'!B13&gt;=D141,'Projet'!B13&lt;=E141))),"Onduleur","")</x:f>
      </x:c>
      <x:c r="K141" s="1005" t="str">
        <x:f>IF(J141="Onduleur",F141,"")</x:f>
      </x:c>
      <x:c r="L141" s="1005" t="str">
        <x:f>IF(AND(J141="Onduleur",F141&gt;='Calculs'!$B$19),F141,"")</x:f>
      </x:c>
      <x:c r="M141" s="1005" t="str">
        <x:v>À confirmer fabricant</x:v>
      </x:c>
    </x:row>
    <x:row r="142">
      <x:c r="J142" s="1005" t="str">
        <x:f>IF(AND(LEFT(B142,8)="Onduleur",IF(OR(D142="",E142=""),'Projet'!B7="Raccordé réseau",AND('Projet'!B13&gt;=D142,'Projet'!B13&lt;=E142))),"Onduleur","")</x:f>
      </x:c>
      <x:c r="K142" s="1005" t="str">
        <x:f>IF(J142="Onduleur",F142,"")</x:f>
      </x:c>
      <x:c r="L142" s="1005" t="str">
        <x:f>IF(AND(J142="Onduleur",F142&gt;='Calculs'!$B$19),F142,"")</x:f>
      </x:c>
      <x:c r="M142" s="1005" t="str">
        <x:v>À confirmer fabricant</x:v>
      </x:c>
    </x:row>
    <x:row r="143">
      <x:c r="J143" s="1005" t="str">
        <x:f>IF(AND(LEFT(B143,8)="Onduleur",IF(OR(D143="",E143=""),'Projet'!B7="Raccordé réseau",AND('Projet'!B13&gt;=D143,'Projet'!B13&lt;=E143))),"Onduleur","")</x:f>
      </x:c>
      <x:c r="K143" s="1005" t="str">
        <x:f>IF(J143="Onduleur",F143,"")</x:f>
      </x:c>
      <x:c r="L143" s="1005" t="str">
        <x:f>IF(AND(J143="Onduleur",F143&gt;='Calculs'!$B$19),F143,"")</x:f>
      </x:c>
      <x:c r="M143" s="1005" t="str">
        <x:v>À confirmer fabricant</x:v>
      </x:c>
    </x:row>
    <x:row r="144">
      <x:c r="J144" s="1005" t="str">
        <x:f>IF(AND(LEFT(B144,8)="Onduleur",IF(OR(D144="",E144=""),'Projet'!B7="Raccordé réseau",AND('Projet'!B13&gt;=D144,'Projet'!B13&lt;=E144))),"Onduleur","")</x:f>
      </x:c>
      <x:c r="K144" s="1005" t="str">
        <x:f>IF(J144="Onduleur",F144,"")</x:f>
      </x:c>
      <x:c r="L144" s="1005" t="str">
        <x:f>IF(AND(J144="Onduleur",F144&gt;='Calculs'!$B$19),F144,"")</x:f>
      </x:c>
      <x:c r="M144" s="1005" t="str">
        <x:v>À confirmer fabricant</x:v>
      </x:c>
    </x:row>
    <x:row r="145">
      <x:c r="J145" s="1005" t="str">
        <x:f>IF(AND(LEFT(B145,8)="Onduleur",IF(OR(D145="",E145=""),'Projet'!B7="Raccordé réseau",AND('Projet'!B13&gt;=D145,'Projet'!B13&lt;=E145))),"Onduleur","")</x:f>
      </x:c>
      <x:c r="K145" s="1005" t="str">
        <x:f>IF(J145="Onduleur",F145,"")</x:f>
      </x:c>
      <x:c r="L145" s="1005" t="str">
        <x:f>IF(AND(J145="Onduleur",F145&gt;='Calculs'!$B$19),F145,"")</x:f>
      </x:c>
      <x:c r="M145" s="1005" t="str">
        <x:v>À confirmer fabricant</x:v>
      </x:c>
    </x:row>
    <x:row r="146">
      <x:c r="J146" s="1005" t="str">
        <x:f>IF(AND(LEFT(B146,8)="Onduleur",IF(OR(D146="",E146=""),'Projet'!B7="Raccordé réseau",AND('Projet'!B13&gt;=D146,'Projet'!B13&lt;=E146))),"Onduleur","")</x:f>
      </x:c>
      <x:c r="K146" s="1005" t="str">
        <x:f>IF(J146="Onduleur",F146,"")</x:f>
      </x:c>
      <x:c r="L146" s="1005" t="str">
        <x:f>IF(AND(J146="Onduleur",F146&gt;='Calculs'!$B$19),F146,"")</x:f>
      </x:c>
      <x:c r="M146" s="1005" t="str">
        <x:v>À confirmer fabricant</x:v>
      </x:c>
    </x:row>
    <x:row r="147">
      <x:c r="J147" s="1005" t="str">
        <x:f>IF(AND(LEFT(B147,8)="Onduleur",IF(OR(D147="",E147=""),'Projet'!B7="Raccordé réseau",AND('Projet'!B13&gt;=D147,'Projet'!B13&lt;=E147))),"Onduleur","")</x:f>
      </x:c>
      <x:c r="K147" s="1005" t="str">
        <x:f>IF(J147="Onduleur",F147,"")</x:f>
      </x:c>
      <x:c r="L147" s="1005" t="str">
        <x:f>IF(AND(J147="Onduleur",F147&gt;='Calculs'!$B$19),F147,"")</x:f>
      </x:c>
      <x:c r="M147" s="1005" t="str">
        <x:v>À confirmer fabricant</x:v>
      </x:c>
    </x:row>
    <x:row r="148">
      <x:c r="J148" s="1005" t="str">
        <x:f>IF(AND(LEFT(B148,8)="Onduleur",IF(OR(D148="",E148=""),'Projet'!B7="Raccordé réseau",AND('Projet'!B13&gt;=D148,'Projet'!B13&lt;=E148))),"Onduleur","")</x:f>
      </x:c>
      <x:c r="K148" s="1005" t="str">
        <x:f>IF(J148="Onduleur",F148,"")</x:f>
      </x:c>
      <x:c r="L148" s="1005" t="str">
        <x:f>IF(AND(J148="Onduleur",F148&gt;='Calculs'!$B$19),F148,"")</x:f>
      </x:c>
      <x:c r="M148" s="1005" t="str">
        <x:v>À confirmer fabricant</x:v>
      </x:c>
    </x:row>
    <x:row r="149">
      <x:c r="J149" s="1005" t="str">
        <x:f>IF(AND(LEFT(B149,8)="Onduleur",IF(OR(D149="",E149=""),'Projet'!B7="Raccordé réseau",AND('Projet'!B13&gt;=D149,'Projet'!B13&lt;=E149))),"Onduleur","")</x:f>
      </x:c>
      <x:c r="K149" s="1005" t="str">
        <x:f>IF(J149="Onduleur",F149,"")</x:f>
      </x:c>
      <x:c r="L149" s="1005" t="str">
        <x:f>IF(AND(J149="Onduleur",F149&gt;='Calculs'!$B$19),F149,"")</x:f>
      </x:c>
      <x:c r="M149" s="1005" t="str">
        <x:v>À confirmer fabricant</x:v>
      </x:c>
    </x:row>
    <x:row r="150">
      <x:c r="J150" s="1005" t="str">
        <x:f>IF(AND(LEFT(B150,8)="Onduleur",IF(OR(D150="",E150=""),'Projet'!B7="Raccordé réseau",AND('Projet'!B13&gt;=D150,'Projet'!B13&lt;=E150))),"Onduleur","")</x:f>
      </x:c>
      <x:c r="K150" s="1005" t="str">
        <x:f>IF(J150="Onduleur",F150,"")</x:f>
      </x:c>
      <x:c r="L150" s="1005" t="str">
        <x:f>IF(AND(J150="Onduleur",F150&gt;='Calculs'!$B$19),F150,"")</x:f>
      </x:c>
      <x:c r="M150" s="1005" t="str">
        <x:v>À confirmer fabricant</x:v>
      </x:c>
    </x:row>
    <x:row r="151">
      <x:c r="J151" s="1005" t="str">
        <x:f>IF(AND(LEFT(B151,8)="Onduleur",IF(OR(D151="",E151=""),'Projet'!B7="Raccordé réseau",AND('Projet'!B13&gt;=D151,'Projet'!B13&lt;=E151))),"Onduleur","")</x:f>
      </x:c>
      <x:c r="K151" s="1005" t="str">
        <x:f>IF(J151="Onduleur",F151,"")</x:f>
      </x:c>
      <x:c r="L151" s="1005" t="str">
        <x:f>IF(AND(J151="Onduleur",F151&gt;='Calculs'!$B$19),F151,"")</x:f>
      </x:c>
      <x:c r="M151" s="1005" t="str">
        <x:v>À confirmer fabricant</x:v>
      </x:c>
    </x:row>
    <x:row r="152">
      <x:c r="J152" s="1005" t="str">
        <x:f>IF(AND(LEFT(B152,8)="Onduleur",IF(OR(D152="",E152=""),'Projet'!B7="Raccordé réseau",AND('Projet'!B13&gt;=D152,'Projet'!B13&lt;=E152))),"Onduleur","")</x:f>
      </x:c>
      <x:c r="K152" s="1005" t="str">
        <x:f>IF(J152="Onduleur",F152,"")</x:f>
      </x:c>
      <x:c r="L152" s="1005" t="str">
        <x:f>IF(AND(J152="Onduleur",F152&gt;='Calculs'!$B$19),F152,"")</x:f>
      </x:c>
      <x:c r="M152" s="1005" t="str">
        <x:v>À confirmer fabricant</x:v>
      </x:c>
    </x:row>
    <x:row r="153">
      <x:c r="J153" s="1005" t="str">
        <x:f>IF(AND(LEFT(B153,8)="Onduleur",IF(OR(D153="",E153=""),'Projet'!B7="Raccordé réseau",AND('Projet'!B13&gt;=D153,'Projet'!B13&lt;=E153))),"Onduleur","")</x:f>
      </x:c>
      <x:c r="K153" s="1005" t="str">
        <x:f>IF(J153="Onduleur",F153,"")</x:f>
      </x:c>
      <x:c r="L153" s="1005" t="str">
        <x:f>IF(AND(J153="Onduleur",F153&gt;='Calculs'!$B$19),F153,"")</x:f>
      </x:c>
      <x:c r="M153" s="1005" t="str">
        <x:v>À confirmer fabricant</x:v>
      </x:c>
    </x:row>
    <x:row r="154">
      <x:c r="J154" s="1005" t="str">
        <x:f>IF(AND(LEFT(B154,8)="Onduleur",IF(OR(D154="",E154=""),'Projet'!B7="Raccordé réseau",AND('Projet'!B13&gt;=D154,'Projet'!B13&lt;=E154))),"Onduleur","")</x:f>
      </x:c>
      <x:c r="K154" s="1005" t="str">
        <x:f>IF(J154="Onduleur",F154,"")</x:f>
      </x:c>
      <x:c r="L154" s="1005" t="str">
        <x:f>IF(AND(J154="Onduleur",F154&gt;='Calculs'!$B$19),F154,"")</x:f>
      </x:c>
      <x:c r="M154" s="1005" t="str">
        <x:v>À confirmer fabricant</x:v>
      </x:c>
    </x:row>
    <x:row r="155">
      <x:c r="J155" s="1005" t="str">
        <x:f>IF(AND(LEFT(B155,8)="Onduleur",IF(OR(D155="",E155=""),'Projet'!B7="Raccordé réseau",AND('Projet'!B13&gt;=D155,'Projet'!B13&lt;=E155))),"Onduleur","")</x:f>
      </x:c>
      <x:c r="K155" s="1005" t="str">
        <x:f>IF(J155="Onduleur",F155,"")</x:f>
      </x:c>
      <x:c r="L155" s="1005" t="str">
        <x:f>IF(AND(J155="Onduleur",F155&gt;='Calculs'!$B$19),F155,"")</x:f>
      </x:c>
      <x:c r="M155" s="1005" t="str">
        <x:v>À confirmer fabricant</x:v>
      </x:c>
    </x:row>
    <x:row r="156">
      <x:c r="J156" s="1005" t="str">
        <x:f>IF(AND(LEFT(B156,8)="Onduleur",IF(OR(D156="",E156=""),'Projet'!B7="Raccordé réseau",AND('Projet'!B13&gt;=D156,'Projet'!B13&lt;=E156))),"Onduleur","")</x:f>
      </x:c>
      <x:c r="K156" s="1005" t="str">
        <x:f>IF(J156="Onduleur",F156,"")</x:f>
      </x:c>
      <x:c r="L156" s="1005" t="str">
        <x:f>IF(AND(J156="Onduleur",F156&gt;='Calculs'!$B$19),F156,"")</x:f>
      </x:c>
      <x:c r="M156" s="1005" t="str">
        <x:v>À confirmer fabricant</x:v>
      </x:c>
    </x:row>
    <x:row r="157">
      <x:c r="J157" s="1005" t="str">
        <x:f>IF(AND(LEFT(B157,8)="Onduleur",IF(OR(D157="",E157=""),'Projet'!B7="Raccordé réseau",AND('Projet'!B13&gt;=D157,'Projet'!B13&lt;=E157))),"Onduleur","")</x:f>
      </x:c>
      <x:c r="K157" s="1005" t="str">
        <x:f>IF(J157="Onduleur",F157,"")</x:f>
      </x:c>
      <x:c r="L157" s="1005" t="str">
        <x:f>IF(AND(J157="Onduleur",F157&gt;='Calculs'!$B$19),F157,"")</x:f>
      </x:c>
      <x:c r="M157" s="1005" t="str">
        <x:v>À confirmer fabricant</x:v>
      </x:c>
    </x:row>
    <x:row r="158">
      <x:c r="J158" s="1005" t="str">
        <x:f>IF(AND(LEFT(B158,8)="Onduleur",IF(OR(D158="",E158=""),'Projet'!B7="Raccordé réseau",AND('Projet'!B13&gt;=D158,'Projet'!B13&lt;=E158))),"Onduleur","")</x:f>
      </x:c>
      <x:c r="K158" s="1005" t="str">
        <x:f>IF(J158="Onduleur",F158,"")</x:f>
      </x:c>
      <x:c r="L158" s="1005" t="str">
        <x:f>IF(AND(J158="Onduleur",F158&gt;='Calculs'!$B$19),F158,"")</x:f>
      </x:c>
      <x:c r="M158" s="1005" t="str">
        <x:v>À confirmer fabricant</x:v>
      </x:c>
    </x:row>
    <x:row r="159">
      <x:c r="J159" s="1005" t="str">
        <x:f>IF(AND(LEFT(B159,8)="Onduleur",IF(OR(D159="",E159=""),'Projet'!B7="Raccordé réseau",AND('Projet'!B13&gt;=D159,'Projet'!B13&lt;=E159))),"Onduleur","")</x:f>
      </x:c>
      <x:c r="K159" s="1005" t="str">
        <x:f>IF(J159="Onduleur",F159,"")</x:f>
      </x:c>
      <x:c r="L159" s="1005" t="str">
        <x:f>IF(AND(J159="Onduleur",F159&gt;='Calculs'!$B$19),F159,"")</x:f>
      </x:c>
      <x:c r="M159" s="1005" t="str">
        <x:v>À confirmer fabricant</x:v>
      </x:c>
    </x:row>
    <x:row r="160">
      <x:c r="J160" s="1005" t="str">
        <x:f>IF(AND(LEFT(B160,8)="Onduleur",IF(OR(D160="",E160=""),'Projet'!B7="Raccordé réseau",AND('Projet'!B13&gt;=D160,'Projet'!B13&lt;=E160))),"Onduleur","")</x:f>
      </x:c>
      <x:c r="K160" s="1005" t="str">
        <x:f>IF(J160="Onduleur",F160,"")</x:f>
      </x:c>
      <x:c r="L160" s="1005" t="str">
        <x:f>IF(AND(J160="Onduleur",F160&gt;='Calculs'!$B$19),F160,"")</x:f>
      </x:c>
      <x:c r="M160" s="1005" t="str">
        <x:v>À confirmer fabricant</x:v>
      </x:c>
    </x:row>
    <x:row r="161">
      <x:c r="J161" s="1005" t="str">
        <x:f>IF(AND(LEFT(B161,8)="Onduleur",IF(OR(D161="",E161=""),'Projet'!B7="Raccordé réseau",AND('Projet'!B13&gt;=D161,'Projet'!B13&lt;=E161))),"Onduleur","")</x:f>
      </x:c>
      <x:c r="K161" s="1005" t="str">
        <x:f>IF(J161="Onduleur",F161,"")</x:f>
      </x:c>
      <x:c r="L161" s="1005" t="str">
        <x:f>IF(AND(J161="Onduleur",F161&gt;='Calculs'!$B$19),F161,"")</x:f>
      </x:c>
      <x:c r="M161" s="1005" t="str">
        <x:v>À confirmer fabricant</x:v>
      </x:c>
    </x:row>
    <x:row r="162">
      <x:c r="J162" s="1005" t="str">
        <x:f>IF(AND(LEFT(B162,8)="Onduleur",IF(OR(D162="",E162=""),'Projet'!B7="Raccordé réseau",AND('Projet'!B13&gt;=D162,'Projet'!B13&lt;=E162))),"Onduleur","")</x:f>
      </x:c>
      <x:c r="K162" s="1005" t="str">
        <x:f>IF(J162="Onduleur",F162,"")</x:f>
      </x:c>
      <x:c r="L162" s="1005" t="str">
        <x:f>IF(AND(J162="Onduleur",F162&gt;='Calculs'!$B$19),F162,"")</x:f>
      </x:c>
      <x:c r="M162" s="1005" t="str">
        <x:v>À confirmer fabricant</x:v>
      </x:c>
    </x:row>
    <x:row r="163">
      <x:c r="J163" s="1005" t="str">
        <x:f>IF(AND(LEFT(B163,8)="Onduleur",IF(OR(D163="",E163=""),'Projet'!B7="Raccordé réseau",AND('Projet'!B13&gt;=D163,'Projet'!B13&lt;=E163))),"Onduleur","")</x:f>
      </x:c>
      <x:c r="K163" s="1005" t="str">
        <x:f>IF(J163="Onduleur",F163,"")</x:f>
      </x:c>
      <x:c r="L163" s="1005" t="str">
        <x:f>IF(AND(J163="Onduleur",F163&gt;='Calculs'!$B$19),F163,"")</x:f>
      </x:c>
      <x:c r="M163" s="1005" t="str">
        <x:v>À confirmer fabricant</x:v>
      </x:c>
    </x:row>
    <x:row r="164">
      <x:c r="J164" s="1005" t="str">
        <x:f>IF(AND(LEFT(B164,8)="Onduleur",IF(OR(D164="",E164=""),'Projet'!B7="Raccordé réseau",AND('Projet'!B13&gt;=D164,'Projet'!B13&lt;=E164))),"Onduleur","")</x:f>
      </x:c>
      <x:c r="K164" s="1005" t="str">
        <x:f>IF(J164="Onduleur",F164,"")</x:f>
      </x:c>
      <x:c r="L164" s="1005" t="str">
        <x:f>IF(AND(J164="Onduleur",F164&gt;='Calculs'!$B$19),F164,"")</x:f>
      </x:c>
      <x:c r="M164" s="1005" t="str">
        <x:v>À confirmer fabricant</x:v>
      </x:c>
    </x:row>
    <x:row r="165">
      <x:c r="J165" s="1005" t="str">
        <x:f>IF(AND(LEFT(B165,8)="Onduleur",IF(OR(D165="",E165=""),'Projet'!B7="Raccordé réseau",AND('Projet'!B13&gt;=D165,'Projet'!B13&lt;=E165))),"Onduleur","")</x:f>
      </x:c>
      <x:c r="K165" s="1005" t="str">
        <x:f>IF(J165="Onduleur",F165,"")</x:f>
      </x:c>
      <x:c r="L165" s="1005" t="str">
        <x:f>IF(AND(J165="Onduleur",F165&gt;='Calculs'!$B$19),F165,"")</x:f>
      </x:c>
      <x:c r="M165" s="1005" t="str">
        <x:v>À confirmer fabricant</x:v>
      </x:c>
    </x:row>
    <x:row r="166">
      <x:c r="J166" s="1005" t="str">
        <x:f>IF(AND(LEFT(B166,8)="Onduleur",IF(OR(D166="",E166=""),'Projet'!B7="Raccordé réseau",AND('Projet'!B13&gt;=D166,'Projet'!B13&lt;=E166))),"Onduleur","")</x:f>
      </x:c>
      <x:c r="K166" s="1005" t="str">
        <x:f>IF(J166="Onduleur",F166,"")</x:f>
      </x:c>
      <x:c r="L166" s="1005" t="str">
        <x:f>IF(AND(J166="Onduleur",F166&gt;='Calculs'!$B$19),F166,"")</x:f>
      </x:c>
      <x:c r="M166" s="1005" t="str">
        <x:v>À confirmer fabricant</x:v>
      </x:c>
    </x:row>
    <x:row r="167">
      <x:c r="J167" s="1005" t="str">
        <x:f>IF(AND(LEFT(B167,8)="Onduleur",IF(OR(D167="",E167=""),'Projet'!B7="Raccordé réseau",AND('Projet'!B13&gt;=D167,'Projet'!B13&lt;=E167))),"Onduleur","")</x:f>
      </x:c>
      <x:c r="K167" s="1005" t="str">
        <x:f>IF(J167="Onduleur",F167,"")</x:f>
      </x:c>
      <x:c r="L167" s="1005" t="str">
        <x:f>IF(AND(J167="Onduleur",F167&gt;='Calculs'!$B$19),F167,"")</x:f>
      </x:c>
      <x:c r="M167" s="1005" t="str">
        <x:v>À confirmer fabricant</x:v>
      </x:c>
    </x:row>
    <x:row r="168">
      <x:c r="J168" s="1005" t="str">
        <x:f>IF(AND(LEFT(B168,8)="Onduleur",IF(OR(D168="",E168=""),'Projet'!B7="Raccordé réseau",AND('Projet'!B13&gt;=D168,'Projet'!B13&lt;=E168))),"Onduleur","")</x:f>
      </x:c>
      <x:c r="K168" s="1005" t="str">
        <x:f>IF(J168="Onduleur",F168,"")</x:f>
      </x:c>
      <x:c r="L168" s="1005" t="str">
        <x:f>IF(AND(J168="Onduleur",F168&gt;='Calculs'!$B$19),F168,"")</x:f>
      </x:c>
      <x:c r="M168" s="1005" t="str">
        <x:v>À confirmer fabricant</x:v>
      </x:c>
    </x:row>
    <x:row r="169">
      <x:c r="J169" s="1005" t="str">
        <x:f>IF(AND(LEFT(B169,8)="Onduleur",IF(OR(D169="",E169=""),'Projet'!B7="Raccordé réseau",AND('Projet'!B13&gt;=D169,'Projet'!B13&lt;=E169))),"Onduleur","")</x:f>
      </x:c>
      <x:c r="K169" s="1005" t="str">
        <x:f>IF(J169="Onduleur",F169,"")</x:f>
      </x:c>
      <x:c r="L169" s="1005" t="str">
        <x:f>IF(AND(J169="Onduleur",F169&gt;='Calculs'!$B$19),F169,"")</x:f>
      </x:c>
      <x:c r="M169" s="1005" t="str">
        <x:v>À confirmer fabricant</x:v>
      </x:c>
    </x:row>
    <x:row r="170">
      <x:c r="J170" s="1005" t="str">
        <x:f>IF(AND(LEFT(B170,8)="Onduleur",IF(OR(D170="",E170=""),'Projet'!B7="Raccordé réseau",AND('Projet'!B13&gt;=D170,'Projet'!B13&lt;=E170))),"Onduleur","")</x:f>
      </x:c>
      <x:c r="K170" s="1005" t="str">
        <x:f>IF(J170="Onduleur",F170,"")</x:f>
      </x:c>
      <x:c r="L170" s="1005" t="str">
        <x:f>IF(AND(J170="Onduleur",F170&gt;='Calculs'!$B$19),F170,"")</x:f>
      </x:c>
      <x:c r="M170" s="1005" t="str">
        <x:v>À confirmer fabricant</x:v>
      </x:c>
    </x:row>
    <x:row r="171">
      <x:c r="J171" s="1005" t="str">
        <x:f>IF(AND(LEFT(B171,8)="Onduleur",IF(OR(D171="",E171=""),'Projet'!B7="Raccordé réseau",AND('Projet'!B13&gt;=D171,'Projet'!B13&lt;=E171))),"Onduleur","")</x:f>
      </x:c>
      <x:c r="K171" s="1005" t="str">
        <x:f>IF(J171="Onduleur",F171,"")</x:f>
      </x:c>
      <x:c r="L171" s="1005" t="str">
        <x:f>IF(AND(J171="Onduleur",F171&gt;='Calculs'!$B$19),F171,"")</x:f>
      </x:c>
      <x:c r="M171" s="1005" t="str">
        <x:v>À confirmer fabricant</x:v>
      </x:c>
    </x:row>
    <x:row r="172">
      <x:c r="J172" s="1005" t="str">
        <x:f>IF(AND(LEFT(B172,8)="Onduleur",IF(OR(D172="",E172=""),'Projet'!B7="Raccordé réseau",AND('Projet'!B13&gt;=D172,'Projet'!B13&lt;=E172))),"Onduleur","")</x:f>
      </x:c>
      <x:c r="K172" s="1005" t="str">
        <x:f>IF(J172="Onduleur",F172,"")</x:f>
      </x:c>
      <x:c r="L172" s="1005" t="str">
        <x:f>IF(AND(J172="Onduleur",F172&gt;='Calculs'!$B$19),F172,"")</x:f>
      </x:c>
      <x:c r="M172" s="1005" t="str">
        <x:v>À confirmer fabricant</x:v>
      </x:c>
    </x:row>
    <x:row r="173">
      <x:c r="J173" s="1005" t="str">
        <x:f>IF(AND(LEFT(B173,8)="Onduleur",IF(OR(D173="",E173=""),'Projet'!B7="Raccordé réseau",AND('Projet'!B13&gt;=D173,'Projet'!B13&lt;=E173))),"Onduleur","")</x:f>
      </x:c>
      <x:c r="K173" s="1005" t="str">
        <x:f>IF(J173="Onduleur",F173,"")</x:f>
      </x:c>
      <x:c r="L173" s="1005" t="str">
        <x:f>IF(AND(J173="Onduleur",F173&gt;='Calculs'!$B$19),F173,"")</x:f>
      </x:c>
      <x:c r="M173" s="1005" t="str">
        <x:v>À confirmer fabricant</x:v>
      </x:c>
    </x:row>
    <x:row r="174">
      <x:c r="J174" s="1005" t="str">
        <x:f>IF(AND(LEFT(B174,8)="Onduleur",IF(OR(D174="",E174=""),'Projet'!B7="Raccordé réseau",AND('Projet'!B13&gt;=D174,'Projet'!B13&lt;=E174))),"Onduleur","")</x:f>
      </x:c>
      <x:c r="K174" s="1005" t="str">
        <x:f>IF(J174="Onduleur",F174,"")</x:f>
      </x:c>
      <x:c r="L174" s="1005" t="str">
        <x:f>IF(AND(J174="Onduleur",F174&gt;='Calculs'!$B$19),F174,"")</x:f>
      </x:c>
      <x:c r="M174" s="1005" t="str">
        <x:v>À confirmer fabricant</x:v>
      </x:c>
    </x:row>
    <x:row r="175">
      <x:c r="J175" s="1005" t="str">
        <x:f>IF(AND(LEFT(B175,8)="Onduleur",IF(OR(D175="",E175=""),'Projet'!B7="Raccordé réseau",AND('Projet'!B13&gt;=D175,'Projet'!B13&lt;=E175))),"Onduleur","")</x:f>
      </x:c>
      <x:c r="K175" s="1005" t="str">
        <x:f>IF(J175="Onduleur",F175,"")</x:f>
      </x:c>
      <x:c r="L175" s="1005" t="str">
        <x:f>IF(AND(J175="Onduleur",F175&gt;='Calculs'!$B$19),F175,"")</x:f>
      </x:c>
      <x:c r="M175" s="1005" t="str">
        <x:v>À confirmer fabricant</x:v>
      </x:c>
    </x:row>
    <x:row r="176">
      <x:c r="J176" s="1005" t="str">
        <x:f>IF(AND(LEFT(B176,8)="Onduleur",IF(OR(D176="",E176=""),'Projet'!B7="Raccordé réseau",AND('Projet'!B13&gt;=D176,'Projet'!B13&lt;=E176))),"Onduleur","")</x:f>
      </x:c>
      <x:c r="K176" s="1005" t="str">
        <x:f>IF(J176="Onduleur",F176,"")</x:f>
      </x:c>
      <x:c r="L176" s="1005" t="str">
        <x:f>IF(AND(J176="Onduleur",F176&gt;='Calculs'!$B$19),F176,"")</x:f>
      </x:c>
      <x:c r="M176" s="1005" t="str">
        <x:v>À confirmer fabricant</x:v>
      </x:c>
    </x:row>
    <x:row r="177">
      <x:c r="J177" s="1005" t="str">
        <x:f>IF(AND(LEFT(B177,8)="Onduleur",IF(OR(D177="",E177=""),'Projet'!B7="Raccordé réseau",AND('Projet'!B13&gt;=D177,'Projet'!B13&lt;=E177))),"Onduleur","")</x:f>
      </x:c>
      <x:c r="K177" s="1005" t="str">
        <x:f>IF(J177="Onduleur",F177,"")</x:f>
      </x:c>
      <x:c r="L177" s="1005" t="str">
        <x:f>IF(AND(J177="Onduleur",F177&gt;='Calculs'!$B$19),F177,"")</x:f>
      </x:c>
      <x:c r="M177" s="1005" t="str">
        <x:v>À confirmer fabricant</x:v>
      </x:c>
    </x:row>
    <x:row r="178">
      <x:c r="J178" s="1005" t="str">
        <x:f>IF(AND(LEFT(B178,8)="Onduleur",IF(OR(D178="",E178=""),'Projet'!B7="Raccordé réseau",AND('Projet'!B13&gt;=D178,'Projet'!B13&lt;=E178))),"Onduleur","")</x:f>
      </x:c>
      <x:c r="K178" s="1005" t="str">
        <x:f>IF(J178="Onduleur",F178,"")</x:f>
      </x:c>
      <x:c r="L178" s="1005" t="str">
        <x:f>IF(AND(J178="Onduleur",F178&gt;='Calculs'!$B$19),F178,"")</x:f>
      </x:c>
      <x:c r="M178" s="1005" t="str">
        <x:v>À confirmer fabricant</x:v>
      </x:c>
    </x:row>
    <x:row r="179">
      <x:c r="J179" s="1005" t="str">
        <x:f>IF(AND(LEFT(B179,8)="Onduleur",IF(OR(D179="",E179=""),'Projet'!B7="Raccordé réseau",AND('Projet'!B13&gt;=D179,'Projet'!B13&lt;=E179))),"Onduleur","")</x:f>
      </x:c>
      <x:c r="K179" s="1005" t="str">
        <x:f>IF(J179="Onduleur",F179,"")</x:f>
      </x:c>
      <x:c r="L179" s="1005" t="str">
        <x:f>IF(AND(J179="Onduleur",F179&gt;='Calculs'!$B$19),F179,"")</x:f>
      </x:c>
      <x:c r="M179" s="1005" t="str">
        <x:v>À confirmer fabricant</x:v>
      </x:c>
    </x:row>
    <x:row r="180">
      <x:c r="J180" s="1005" t="str">
        <x:f>IF(AND(LEFT(B180,8)="Onduleur",IF(OR(D180="",E180=""),'Projet'!B7="Raccordé réseau",AND('Projet'!B13&gt;=D180,'Projet'!B13&lt;=E180))),"Onduleur","")</x:f>
      </x:c>
      <x:c r="K180" s="1005" t="str">
        <x:f>IF(J180="Onduleur",F180,"")</x:f>
      </x:c>
      <x:c r="L180" s="1005" t="str">
        <x:f>IF(AND(J180="Onduleur",F180&gt;='Calculs'!$B$19),F180,"")</x:f>
      </x:c>
      <x:c r="M180" s="1005" t="str">
        <x:v>À confirmer fabricant</x:v>
      </x:c>
    </x:row>
    <x:row r="181">
      <x:c r="J181" s="1005" t="str">
        <x:f>IF(AND(LEFT(B181,8)="Onduleur",IF(OR(D181="",E181=""),'Projet'!B7="Raccordé réseau",AND('Projet'!B13&gt;=D181,'Projet'!B13&lt;=E181))),"Onduleur","")</x:f>
      </x:c>
      <x:c r="K181" s="1005" t="str">
        <x:f>IF(J181="Onduleur",F181,"")</x:f>
      </x:c>
      <x:c r="L181" s="1005" t="str">
        <x:f>IF(AND(J181="Onduleur",F181&gt;='Calculs'!$B$19),F181,"")</x:f>
      </x:c>
      <x:c r="M181" s="1005" t="str">
        <x:v>À confirmer fabricant</x:v>
      </x:c>
    </x:row>
    <x:row r="182">
      <x:c r="J182" s="1005" t="str">
        <x:f>IF(AND(LEFT(B182,8)="Onduleur",IF(OR(D182="",E182=""),'Projet'!B7="Raccordé réseau",AND('Projet'!B13&gt;=D182,'Projet'!B13&lt;=E182))),"Onduleur","")</x:f>
      </x:c>
      <x:c r="K182" s="1005" t="str">
        <x:f>IF(J182="Onduleur",F182,"")</x:f>
      </x:c>
      <x:c r="L182" s="1005" t="str">
        <x:f>IF(AND(J182="Onduleur",F182&gt;='Calculs'!$B$19),F182,"")</x:f>
      </x:c>
      <x:c r="M182" s="1005" t="str">
        <x:v>À confirmer fabricant</x:v>
      </x:c>
    </x:row>
    <x:row r="183">
      <x:c r="J183" s="1005" t="str">
        <x:f>IF(AND(LEFT(B183,8)="Onduleur",IF(OR(D183="",E183=""),'Projet'!B7="Raccordé réseau",AND('Projet'!B13&gt;=D183,'Projet'!B13&lt;=E183))),"Onduleur","")</x:f>
      </x:c>
      <x:c r="K183" s="1005" t="str">
        <x:f>IF(J183="Onduleur",F183,"")</x:f>
      </x:c>
      <x:c r="L183" s="1005" t="str">
        <x:f>IF(AND(J183="Onduleur",F183&gt;='Calculs'!$B$19),F183,"")</x:f>
      </x:c>
      <x:c r="M183" s="1005" t="str">
        <x:v>À confirmer fabricant</x:v>
      </x:c>
    </x:row>
    <x:row r="184">
      <x:c r="J184" s="1005" t="str">
        <x:f>IF(AND(LEFT(B184,8)="Onduleur",IF(OR(D184="",E184=""),'Projet'!B7="Raccordé réseau",AND('Projet'!B13&gt;=D184,'Projet'!B13&lt;=E184))),"Onduleur","")</x:f>
      </x:c>
      <x:c r="K184" s="1005" t="str">
        <x:f>IF(J184="Onduleur",F184,"")</x:f>
      </x:c>
      <x:c r="L184" s="1005" t="str">
        <x:f>IF(AND(J184="Onduleur",F184&gt;='Calculs'!$B$19),F184,"")</x:f>
      </x:c>
      <x:c r="M184" s="1005" t="str">
        <x:v>À confirmer fabricant</x:v>
      </x:c>
    </x:row>
    <x:row r="185">
      <x:c r="J185" s="1005" t="str">
        <x:f>IF(AND(LEFT(B185,8)="Onduleur",IF(OR(D185="",E185=""),'Projet'!B7="Raccordé réseau",AND('Projet'!B13&gt;=D185,'Projet'!B13&lt;=E185))),"Onduleur","")</x:f>
      </x:c>
      <x:c r="K185" s="1005" t="str">
        <x:f>IF(J185="Onduleur",F185,"")</x:f>
      </x:c>
      <x:c r="L185" s="1005" t="str">
        <x:f>IF(AND(J185="Onduleur",F185&gt;='Calculs'!$B$19),F185,"")</x:f>
      </x:c>
      <x:c r="M185" s="1005" t="str">
        <x:v>À confirmer fabricant</x:v>
      </x:c>
    </x:row>
    <x:row r="186">
      <x:c r="J186" s="1005" t="str">
        <x:f>IF(AND(LEFT(B186,8)="Onduleur",IF(OR(D186="",E186=""),'Projet'!B7="Raccordé réseau",AND('Projet'!B13&gt;=D186,'Projet'!B13&lt;=E186))),"Onduleur","")</x:f>
      </x:c>
      <x:c r="K186" s="1005" t="str">
        <x:f>IF(J186="Onduleur",F186,"")</x:f>
      </x:c>
      <x:c r="L186" s="1005" t="str">
        <x:f>IF(AND(J186="Onduleur",F186&gt;='Calculs'!$B$19),F186,"")</x:f>
      </x:c>
      <x:c r="M186" s="1005" t="str">
        <x:v>À confirmer fabricant</x:v>
      </x:c>
    </x:row>
    <x:row r="187">
      <x:c r="J187" s="1005" t="str">
        <x:f>IF(AND(LEFT(B187,8)="Onduleur",IF(OR(D187="",E187=""),'Projet'!B7="Raccordé réseau",AND('Projet'!B13&gt;=D187,'Projet'!B13&lt;=E187))),"Onduleur","")</x:f>
      </x:c>
      <x:c r="K187" s="1005" t="str">
        <x:f>IF(J187="Onduleur",F187,"")</x:f>
      </x:c>
      <x:c r="L187" s="1005" t="str">
        <x:f>IF(AND(J187="Onduleur",F187&gt;='Calculs'!$B$19),F187,"")</x:f>
      </x:c>
      <x:c r="M187" s="1005" t="str">
        <x:v>À confirmer fabricant</x:v>
      </x:c>
    </x:row>
    <x:row r="188">
      <x:c r="J188" s="1005" t="str">
        <x:f>IF(AND(LEFT(B188,8)="Onduleur",IF(OR(D188="",E188=""),'Projet'!B7="Raccordé réseau",AND('Projet'!B13&gt;=D188,'Projet'!B13&lt;=E188))),"Onduleur","")</x:f>
      </x:c>
      <x:c r="K188" s="1005" t="str">
        <x:f>IF(J188="Onduleur",F188,"")</x:f>
      </x:c>
      <x:c r="L188" s="1005" t="str">
        <x:f>IF(AND(J188="Onduleur",F188&gt;='Calculs'!$B$19),F188,"")</x:f>
      </x:c>
      <x:c r="M188" s="1005" t="str">
        <x:v>À confirmer fabricant</x:v>
      </x:c>
    </x:row>
    <x:row r="189">
      <x:c r="J189" s="1005" t="str">
        <x:f>IF(AND(LEFT(B189,8)="Onduleur",IF(OR(D189="",E189=""),'Projet'!B7="Raccordé réseau",AND('Projet'!B13&gt;=D189,'Projet'!B13&lt;=E189))),"Onduleur","")</x:f>
      </x:c>
      <x:c r="K189" s="1005" t="str">
        <x:f>IF(J189="Onduleur",F189,"")</x:f>
      </x:c>
      <x:c r="L189" s="1005" t="str">
        <x:f>IF(AND(J189="Onduleur",F189&gt;='Calculs'!$B$19),F189,"")</x:f>
      </x:c>
      <x:c r="M189" s="1005" t="str">
        <x:v>À confirmer fabricant</x:v>
      </x:c>
    </x:row>
    <x:row r="190">
      <x:c r="J190" s="1005" t="str">
        <x:f>IF(AND(LEFT(B190,8)="Onduleur",IF(OR(D190="",E190=""),'Projet'!B7="Raccordé réseau",AND('Projet'!B13&gt;=D190,'Projet'!B13&lt;=E190))),"Onduleur","")</x:f>
      </x:c>
      <x:c r="K190" s="1005" t="str">
        <x:f>IF(J190="Onduleur",F190,"")</x:f>
      </x:c>
      <x:c r="L190" s="1005" t="str">
        <x:f>IF(AND(J190="Onduleur",F190&gt;='Calculs'!$B$19),F190,"")</x:f>
      </x:c>
      <x:c r="M190" s="1005" t="str">
        <x:v>À confirmer fabricant</x:v>
      </x:c>
    </x:row>
    <x:row r="191">
      <x:c r="J191" s="1005" t="str">
        <x:f>IF(AND(LEFT(B191,8)="Onduleur",IF(OR(D191="",E191=""),'Projet'!B7="Raccordé réseau",AND('Projet'!B13&gt;=D191,'Projet'!B13&lt;=E191))),"Onduleur","")</x:f>
      </x:c>
      <x:c r="K191" s="1005" t="str">
        <x:f>IF(J191="Onduleur",F191,"")</x:f>
      </x:c>
      <x:c r="L191" s="1005" t="str">
        <x:f>IF(AND(J191="Onduleur",F191&gt;='Calculs'!$B$19),F191,"")</x:f>
      </x:c>
      <x:c r="M191" s="1005" t="str">
        <x:v>À confirmer fabricant</x:v>
      </x:c>
    </x:row>
    <x:row r="192">
      <x:c r="J192" s="1005" t="str">
        <x:f>IF(AND(LEFT(B192,8)="Onduleur",IF(OR(D192="",E192=""),'Projet'!B7="Raccordé réseau",AND('Projet'!B13&gt;=D192,'Projet'!B13&lt;=E192))),"Onduleur","")</x:f>
      </x:c>
      <x:c r="K192" s="1005" t="str">
        <x:f>IF(J192="Onduleur",F192,"")</x:f>
      </x:c>
      <x:c r="L192" s="1005" t="str">
        <x:f>IF(AND(J192="Onduleur",F192&gt;='Calculs'!$B$19),F192,"")</x:f>
      </x:c>
      <x:c r="M192" s="1005" t="str">
        <x:v>À confirmer fabricant</x:v>
      </x:c>
    </x:row>
    <x:row r="193">
      <x:c r="J193" s="1005" t="str">
        <x:f>IF(AND(LEFT(B193,8)="Onduleur",IF(OR(D193="",E193=""),'Projet'!B7="Raccordé réseau",AND('Projet'!B13&gt;=D193,'Projet'!B13&lt;=E193))),"Onduleur","")</x:f>
      </x:c>
      <x:c r="K193" s="1005" t="str">
        <x:f>IF(J193="Onduleur",F193,"")</x:f>
      </x:c>
      <x:c r="L193" s="1005" t="str">
        <x:f>IF(AND(J193="Onduleur",F193&gt;='Calculs'!$B$19),F193,"")</x:f>
      </x:c>
      <x:c r="M193" s="1005" t="str">
        <x:v>À confirmer fabricant</x:v>
      </x:c>
    </x:row>
    <x:row r="194">
      <x:c r="J194" s="1005" t="str">
        <x:f>IF(AND(LEFT(B194,8)="Onduleur",IF(OR(D194="",E194=""),'Projet'!B7="Raccordé réseau",AND('Projet'!B13&gt;=D194,'Projet'!B13&lt;=E194))),"Onduleur","")</x:f>
      </x:c>
      <x:c r="K194" s="1005" t="str">
        <x:f>IF(J194="Onduleur",F194,"")</x:f>
      </x:c>
      <x:c r="L194" s="1005" t="str">
        <x:f>IF(AND(J194="Onduleur",F194&gt;='Calculs'!$B$19),F194,"")</x:f>
      </x:c>
      <x:c r="M194" s="1005" t="str">
        <x:v>À confirmer fabricant</x:v>
      </x:c>
    </x:row>
    <x:row r="195">
      <x:c r="J195" s="1005" t="str">
        <x:f>IF(AND(LEFT(B195,8)="Onduleur",IF(OR(D195="",E195=""),'Projet'!B7="Raccordé réseau",AND('Projet'!B13&gt;=D195,'Projet'!B13&lt;=E195))),"Onduleur","")</x:f>
      </x:c>
      <x:c r="K195" s="1005" t="str">
        <x:f>IF(J195="Onduleur",F195,"")</x:f>
      </x:c>
      <x:c r="L195" s="1005" t="str">
        <x:f>IF(AND(J195="Onduleur",F195&gt;='Calculs'!$B$19),F195,"")</x:f>
      </x:c>
      <x:c r="M195" s="1005" t="str">
        <x:v>À confirmer fabricant</x:v>
      </x:c>
    </x:row>
    <x:row r="196">
      <x:c r="J196" s="1005" t="str">
        <x:f>IF(AND(LEFT(B196,8)="Onduleur",IF(OR(D196="",E196=""),'Projet'!B7="Raccordé réseau",AND('Projet'!B13&gt;=D196,'Projet'!B13&lt;=E196))),"Onduleur","")</x:f>
      </x:c>
      <x:c r="K196" s="1005" t="str">
        <x:f>IF(J196="Onduleur",F196,"")</x:f>
      </x:c>
      <x:c r="L196" s="1005" t="str">
        <x:f>IF(AND(J196="Onduleur",F196&gt;='Calculs'!$B$19),F196,"")</x:f>
      </x:c>
      <x:c r="M196" s="1005" t="str">
        <x:v>À confirmer fabricant</x:v>
      </x:c>
    </x:row>
    <x:row r="197">
      <x:c r="J197" s="1005" t="str">
        <x:f>IF(AND(LEFT(B197,8)="Onduleur",IF(OR(D197="",E197=""),'Projet'!B7="Raccordé réseau",AND('Projet'!B13&gt;=D197,'Projet'!B13&lt;=E197))),"Onduleur","")</x:f>
      </x:c>
      <x:c r="K197" s="1005" t="str">
        <x:f>IF(J197="Onduleur",F197,"")</x:f>
      </x:c>
      <x:c r="L197" s="1005" t="str">
        <x:f>IF(AND(J197="Onduleur",F197&gt;='Calculs'!$B$19),F197,"")</x:f>
      </x:c>
      <x:c r="M197" s="1005" t="str">
        <x:v>À confirmer fabricant</x:v>
      </x:c>
    </x:row>
    <x:row r="198">
      <x:c r="J198" s="1005" t="str">
        <x:f>IF(AND(LEFT(B198,8)="Onduleur",IF(OR(D198="",E198=""),'Projet'!B7="Raccordé réseau",AND('Projet'!B13&gt;=D198,'Projet'!B13&lt;=E198))),"Onduleur","")</x:f>
      </x:c>
      <x:c r="K198" s="1005" t="str">
        <x:f>IF(J198="Onduleur",F198,"")</x:f>
      </x:c>
      <x:c r="L198" s="1005" t="str">
        <x:f>IF(AND(J198="Onduleur",F198&gt;='Calculs'!$B$19),F198,"")</x:f>
      </x:c>
      <x:c r="M198" s="1005" t="str">
        <x:v>À confirmer fabricant</x:v>
      </x:c>
    </x:row>
    <x:row r="199">
      <x:c r="J199" s="1005" t="str">
        <x:f>IF(AND(LEFT(B199,8)="Onduleur",IF(OR(D199="",E199=""),'Projet'!B7="Raccordé réseau",AND('Projet'!B13&gt;=D199,'Projet'!B13&lt;=E199))),"Onduleur","")</x:f>
      </x:c>
      <x:c r="K199" s="1005" t="str">
        <x:f>IF(J199="Onduleur",F199,"")</x:f>
      </x:c>
      <x:c r="L199" s="1005" t="str">
        <x:f>IF(AND(J199="Onduleur",F199&gt;='Calculs'!$B$19),F199,"")</x:f>
      </x:c>
      <x:c r="M199" s="1005" t="str">
        <x:v>À confirmer fabricant</x:v>
      </x:c>
    </x:row>
    <x:row r="200">
      <x:c r="J200" s="1005" t="str">
        <x:f>IF(AND(LEFT(B200,8)="Onduleur",IF(OR(D200="",E200=""),'Projet'!B7="Raccordé réseau",AND('Projet'!B13&gt;=D200,'Projet'!B13&lt;=E200))),"Onduleur","")</x:f>
      </x:c>
      <x:c r="K200" s="1005" t="str">
        <x:f>IF(J200="Onduleur",F200,"")</x:f>
      </x:c>
      <x:c r="L200" s="1005" t="str">
        <x:f>IF(AND(J200="Onduleur",F200&gt;='Calculs'!$B$19),F200,"")</x:f>
      </x:c>
      <x:c r="M200" s="1005" t="str">
        <x:v>À confirmer fabricant</x:v>
      </x:c>
    </x:row>
    <x:row r="201">
      <x:c r="J201" s="1005" t="str">
        <x:f>IF(AND(LEFT(B201,8)="Onduleur",IF(OR(D201="",E201=""),'Projet'!B7="Raccordé réseau",AND('Projet'!B13&gt;=D201,'Projet'!B13&lt;=E201))),"Onduleur","")</x:f>
      </x:c>
      <x:c r="K201" s="1005" t="str">
        <x:f>IF(J201="Onduleur",F201,"")</x:f>
      </x:c>
      <x:c r="L201" s="1005" t="str">
        <x:f>IF(AND(J201="Onduleur",F201&gt;='Calculs'!$B$19),F201,"")</x:f>
      </x:c>
      <x:c r="M201" s="1005" t="str">
        <x:v>À confirmer fabricant</x:v>
      </x:c>
    </x:row>
    <x:row r="202">
      <x:c r="J202" s="1005" t="str">
        <x:f>IF(AND(LEFT(B202,8)="Onduleur",IF(OR(D202="",E202=""),'Projet'!B7="Raccordé réseau",AND('Projet'!B13&gt;=D202,'Projet'!B13&lt;=E202))),"Onduleur","")</x:f>
      </x:c>
      <x:c r="K202" s="1005" t="str">
        <x:f>IF(J202="Onduleur",F202,"")</x:f>
      </x:c>
      <x:c r="L202" s="1005" t="str">
        <x:f>IF(AND(J202="Onduleur",F202&gt;='Calculs'!$B$19),F202,"")</x:f>
      </x:c>
      <x:c r="M202" s="1005" t="str">
        <x:v>À confirmer fabricant</x:v>
      </x:c>
    </x:row>
    <x:row r="203">
      <x:c r="J203" s="1005" t="str">
        <x:f>IF(AND(LEFT(B203,8)="Onduleur",IF(OR(D203="",E203=""),'Projet'!B7="Raccordé réseau",AND('Projet'!B13&gt;=D203,'Projet'!B13&lt;=E203))),"Onduleur","")</x:f>
      </x:c>
      <x:c r="K203" s="1005" t="str">
        <x:f>IF(J203="Onduleur",F203,"")</x:f>
      </x:c>
      <x:c r="L203" s="1005" t="str">
        <x:f>IF(AND(J203="Onduleur",F203&gt;='Calculs'!$B$19),F203,"")</x:f>
      </x:c>
      <x:c r="M203" s="1005" t="str">
        <x:v>À confirmer fabricant</x:v>
      </x:c>
    </x:row>
    <x:row r="204">
      <x:c r="J204" s="1005" t="str">
        <x:f>IF(AND(LEFT(B204,8)="Onduleur",IF(OR(D204="",E204=""),'Projet'!B7="Raccordé réseau",AND('Projet'!B13&gt;=D204,'Projet'!B13&lt;=E204))),"Onduleur","")</x:f>
      </x:c>
      <x:c r="K204" s="1005" t="str">
        <x:f>IF(J204="Onduleur",F204,"")</x:f>
      </x:c>
      <x:c r="L204" s="1005" t="str">
        <x:f>IF(AND(J204="Onduleur",F204&gt;='Calculs'!$B$19),F204,"")</x:f>
      </x:c>
      <x:c r="M204" s="1005" t="str">
        <x:v>À confirmer fabricant</x:v>
      </x:c>
    </x:row>
    <x:row r="205">
      <x:c r="J205" s="1005" t="str">
        <x:f>IF(AND(LEFT(B205,8)="Onduleur",IF(OR(D205="",E205=""),'Projet'!B7="Raccordé réseau",AND('Projet'!B13&gt;=D205,'Projet'!B13&lt;=E205))),"Onduleur","")</x:f>
      </x:c>
      <x:c r="K205" s="1005" t="str">
        <x:f>IF(J205="Onduleur",F205,"")</x:f>
      </x:c>
      <x:c r="L205" s="1005" t="str">
        <x:f>IF(AND(J205="Onduleur",F205&gt;='Calculs'!$B$19),F205,"")</x:f>
      </x:c>
      <x:c r="M205" s="1005" t="str">
        <x:v>À confirmer fabricant</x:v>
      </x:c>
    </x:row>
    <x:row r="207">
      <x:c r="A207" s="1027" t="str">
        <x:v>Classification : MPPT externe, onduleur hybride avec stockage, onduleur/chargeur et onduleur raccordé réseau sont des familles distinctes. Les plages de batterie ne s’appliquent pas aux onduleurs réseau. Pour un produit haute puissance, vérifier la version régionale, les phases, le code réseau local et le dimensionnement des chaînes PV.</x:v>
      </x:c>
      <x:c r="B207" s="1027"/>
      <x:c r="C207" s="1027"/>
      <x:c r="D207" s="1027"/>
      <x:c r="E207" s="1027"/>
      <x:c r="F207" s="1027"/>
      <x:c r="G207" s="1027"/>
      <x:c r="H207" s="1027"/>
      <x:c r="I207" s="1027"/>
    </x:row>
    <x:row r="208">
      <x:c r="A208" s="1027"/>
      <x:c r="B208" s="1027"/>
      <x:c r="C208" s="1027"/>
      <x:c r="D208" s="1027"/>
      <x:c r="E208" s="1027"/>
      <x:c r="F208" s="1027"/>
      <x:c r="G208" s="1027"/>
      <x:c r="H208" s="1027"/>
      <x:c r="I208" s="1027"/>
    </x:row>
    <x:row r="209">
      <x:c r="A209" s="1027"/>
      <x:c r="B209" s="1027"/>
      <x:c r="C209" s="1027"/>
      <x:c r="D209" s="1027"/>
      <x:c r="E209" s="1027"/>
      <x:c r="F209" s="1027"/>
      <x:c r="G209" s="1027"/>
      <x:c r="H209" s="1027"/>
      <x:c r="I209" s="1027"/>
    </x:row>
  </x:sheetData>
  <x:mergeCells>
    <x:mergeCell ref="A1:I2"/>
    <x:mergeCell ref="A4:I4"/>
    <x:mergeCell ref="A207:I209"/>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139" t="str">
        <x:v>CÂBLES ET PROTECTIONS — PRÉ-ÉTUDE</x:v>
      </x:c>
      <x:c r="B1" s="1139"/>
      <x:c r="C1" s="1139"/>
      <x:c r="D1" s="1139"/>
      <x:c r="E1" s="1139"/>
      <x:c r="F1" s="1139"/>
      <x:c r="G1" s="1139"/>
      <x:c r="H1" s="1139"/>
      <x:c r="I1" s="1139"/>
      <x:c r="J1" s="1139"/>
      <x:c r="K1" s="1139"/>
    </x:row>
    <x:row r="2">
      <x:c r="A2" s="4"/>
      <x:c r="B2" s="4"/>
      <x:c r="C2" s="4"/>
      <x:c r="D2" s="4"/>
      <x:c r="E2" s="4"/>
      <x:c r="F2" s="4"/>
      <x:c r="G2" s="4"/>
      <x:c r="H2" s="4"/>
    </x:row>
    <x:row r="3">
      <x:c r="A3" s="1"/>
      <x:c r="B3" s="1"/>
      <x:c r="C3" s="1"/>
      <x:c r="D3" s="1"/>
      <x:c r="E3" s="1"/>
      <x:c r="F3" s="1"/>
      <x:c r="G3" s="1"/>
      <x:c r="H3" s="1"/>
    </x:row>
    <x:row r="4">
      <x:c r="A4" s="1"/>
      <x:c r="B4" s="1"/>
      <x:c r="C4" s="1"/>
      <x:c r="D4" s="1"/>
      <x:c r="E4" s="1"/>
      <x:c r="F4" s="1"/>
      <x:c r="G4" s="1"/>
      <x:c r="H4" s="1"/>
    </x:row>
    <x:row r="5" ht="32" customHeight="1">
      <x:c r="A5" s="35" t="str">
        <x:v>Liaison</x:v>
      </x:c>
      <x:c r="B5" s="35" t="str">
        <x:v>Tension (V)</x:v>
      </x:c>
      <x:c r="C5" s="35" t="str">
        <x:v>Courant (A)</x:v>
      </x:c>
      <x:c r="D5" s="35" t="str">
        <x:v>Longueur aller (m)</x:v>
      </x:c>
      <x:c r="E5" s="35" t="str">
        <x:v>Chute cible (%)</x:v>
      </x:c>
      <x:c r="F5" s="35" t="str">
        <x:v>Cu (Ω·mm²/m)</x:v>
      </x:c>
      <x:c r="G5" s="35" t="str">
        <x:v>Section calculée (mm²)</x:v>
      </x:c>
      <x:c r="H5" s="35" t="str">
        <x:v>Section cuivre retenue (mm²)</x:v>
      </x:c>
      <x:c r="J5" t="str">
        <x:v>Section (mm²)</x:v>
      </x:c>
      <x:c r="K5" t="str">
        <x:v>Courant indicatif</x:v>
      </x:c>
    </x:row>
    <x:row r="6">
      <x:c r="A6" s="1" t="str">
        <x:v>Champ PV → MPPT</x:v>
      </x:c>
      <x:c r="B6" s="37"/>
      <x:c r="C6" s="37"/>
      <x:c r="D6" s="37"/>
      <x:c r="E6" s="37" t="n">
        <x:v>2</x:v>
      </x:c>
      <x:c r="F6" s="37" t="n">
        <x:v>0.0175</x:v>
      </x:c>
      <x:c r="G6" s="11" t="str">
        <x:f>IF(OR(B6="",C6="",D6="",E6=""),"",2*D6*F6*C6/(B6*E6/100))</x:f>
      </x:c>
      <x:c r="H6" s="37" t="n">
        <x:v>2</x:v>
      </x:c>
      <x:c r="J6" t="n">
        <x:v>1.5</x:v>
      </x:c>
      <x:c r="K6" t="str">
        <x:v>À déterminer selon pose</x:v>
      </x:c>
    </x:row>
    <x:row r="7">
      <x:c r="A7" s="1" t="str">
        <x:v>Batterie → onduleur</x:v>
      </x:c>
      <x:c r="B7" s="37"/>
      <x:c r="C7" s="37"/>
      <x:c r="D7" s="37"/>
      <x:c r="E7" s="37" t="n">
        <x:v>1</x:v>
      </x:c>
      <x:c r="F7" s="37" t="n">
        <x:v>0.0175</x:v>
      </x:c>
      <x:c r="G7" s="11" t="str">
        <x:f>IF(OR(B7="",C7="",D7="",E7=""),"",2*D7*F7*C7/(B7*E7/100))</x:f>
      </x:c>
      <x:c r="H7" s="37" t="n">
        <x:v>50</x:v>
      </x:c>
      <x:c r="J7" t="n">
        <x:v>2.5</x:v>
      </x:c>
      <x:c r="K7" t="str">
        <x:v>À déterminer selon pose</x:v>
      </x:c>
    </x:row>
    <x:row r="8">
      <x:c r="A8" s="1" t="str">
        <x:v>Onduleur → tableau AC</x:v>
      </x:c>
      <x:c r="B8" s="37"/>
      <x:c r="C8" s="37"/>
      <x:c r="D8" s="37"/>
      <x:c r="E8" s="37" t="n">
        <x:v>2</x:v>
      </x:c>
      <x:c r="F8" s="37" t="n">
        <x:v>0.0175</x:v>
      </x:c>
      <x:c r="G8" s="11" t="str">
        <x:f>IF(OR(B8="",C8="",D8="",E8=""),"",2*D8*F8*C8/(B8*E8/100))</x:f>
      </x:c>
      <x:c r="H8" s="37" t="n">
        <x:v>6</x:v>
      </x:c>
      <x:c r="J8" t="n">
        <x:v>4</x:v>
      </x:c>
      <x:c r="K8" t="str">
        <x:v>À déterminer selon pose</x:v>
      </x:c>
    </x:row>
    <x:row r="9">
      <x:c r="A9" s="1"/>
      <x:c r="B9" s="1"/>
      <x:c r="C9" s="1"/>
      <x:c r="D9" s="1"/>
      <x:c r="E9" s="1"/>
      <x:c r="F9" s="1"/>
      <x:c r="G9" s="1"/>
      <x:c r="H9" s="1"/>
      <x:c r="J9" t="n">
        <x:v>6</x:v>
      </x:c>
      <x:c r="K9" t="str">
        <x:v>À déterminer selon pose</x:v>
      </x:c>
    </x:row>
    <x:row r="10">
      <x:c r="A10" s="1"/>
      <x:c r="B10" s="1"/>
      <x:c r="C10" s="1"/>
      <x:c r="D10" s="1"/>
      <x:c r="E10" s="1"/>
      <x:c r="F10" s="1"/>
      <x:c r="G10" s="1"/>
      <x:c r="H10" s="1"/>
      <x:c r="J10" t="n">
        <x:v>10</x:v>
      </x:c>
      <x:c r="K10" t="str">
        <x:v>À déterminer selon pose</x:v>
      </x:c>
    </x:row>
    <x:row r="11">
      <x:c r="A11" s="50" t="str">
        <x:v>Calcul simplifié de chute de tension DC/monophasée, cuivre, boucle aller-retour. La section retenue est saisie manuellement. Ce calcul ne vérifie ni ampacité, mode de pose, regroupement, température, court-circuit, sélectivité, protection mécanique, ni prescriptions normatives. Les protections ne sont pas automatiquement validées.</x:v>
      </x:c>
      <x:c r="B11" s="50"/>
      <x:c r="C11" s="50"/>
      <x:c r="D11" s="50"/>
      <x:c r="E11" s="50"/>
      <x:c r="F11" s="50"/>
      <x:c r="G11" s="50"/>
      <x:c r="H11" s="50"/>
      <x:c r="J11" t="n">
        <x:v>16</x:v>
      </x:c>
      <x:c r="K11" t="str">
        <x:v>À déterminer selon pose</x:v>
      </x:c>
    </x:row>
    <x:row r="12">
      <x:c r="A12" s="50"/>
      <x:c r="B12" s="50"/>
      <x:c r="C12" s="50"/>
      <x:c r="D12" s="50"/>
      <x:c r="E12" s="50"/>
      <x:c r="F12" s="50"/>
      <x:c r="G12" s="50"/>
      <x:c r="H12" s="50"/>
      <x:c r="J12" t="n">
        <x:v>25</x:v>
      </x:c>
      <x:c r="K12" t="str">
        <x:v>À déterminer selon pose</x:v>
      </x:c>
    </x:row>
    <x:row r="13">
      <x:c r="A13" s="50"/>
      <x:c r="B13" s="50"/>
      <x:c r="C13" s="50"/>
      <x:c r="D13" s="50"/>
      <x:c r="E13" s="50"/>
      <x:c r="F13" s="50"/>
      <x:c r="G13" s="50"/>
      <x:c r="H13" s="50"/>
      <x:c r="J13" t="n">
        <x:v>35</x:v>
      </x:c>
      <x:c r="K13" t="str">
        <x:v>À déterminer selon pose</x:v>
      </x:c>
    </x:row>
    <x:row r="14">
      <x:c r="A14" s="1"/>
      <x:c r="B14" s="1"/>
      <x:c r="C14" s="1"/>
      <x:c r="D14" s="1"/>
      <x:c r="E14" s="1"/>
      <x:c r="F14" s="1"/>
      <x:c r="G14" s="1"/>
      <x:c r="H14" s="1"/>
    </x:row>
    <x:row r="15">
      <x:c r="A15" s="1"/>
      <x:c r="B15" s="1"/>
      <x:c r="C15" s="1"/>
      <x:c r="D15" s="1"/>
      <x:c r="E15" s="1"/>
      <x:c r="F15" s="1"/>
      <x:c r="G15" s="1"/>
      <x:c r="H15" s="1"/>
    </x:row>
    <x:row r="16">
      <x:c r="A16" s="1"/>
      <x:c r="B16" s="1"/>
      <x:c r="C16" s="1"/>
      <x:c r="D16" s="1"/>
      <x:c r="E16" s="1"/>
      <x:c r="F16" s="1"/>
      <x:c r="G16" s="1"/>
      <x:c r="H16" s="1"/>
    </x:row>
    <x:row r="17">
      <x:c r="A17" s="1"/>
      <x:c r="B17" s="1"/>
      <x:c r="C17" s="1"/>
      <x:c r="D17" s="1"/>
      <x:c r="E17" s="1"/>
      <x:c r="F17" s="1"/>
      <x:c r="G17" s="1"/>
      <x:c r="H17" s="1"/>
    </x:row>
    <x:row r="18">
      <x:c r="A18" s="1"/>
      <x:c r="B18" s="1"/>
      <x:c r="C18" s="1"/>
      <x:c r="D18" s="1"/>
      <x:c r="E18" s="1"/>
      <x:c r="F18" s="1"/>
      <x:c r="G18" s="1"/>
      <x:c r="H18" s="1"/>
    </x:row>
    <x:row r="19">
      <x:c r="A19" s="1"/>
      <x:c r="B19" s="1"/>
      <x:c r="C19" s="1"/>
      <x:c r="D19" s="1"/>
      <x:c r="E19" s="1"/>
      <x:c r="F19" s="1"/>
      <x:c r="G19" s="1"/>
      <x:c r="H19" s="1"/>
    </x:row>
    <x:row r="20">
      <x:c r="A20" s="1"/>
      <x:c r="B20" s="1"/>
      <x:c r="C20" s="1"/>
      <x:c r="D20" s="1"/>
      <x:c r="E20" s="1"/>
      <x:c r="F20" s="1"/>
      <x:c r="G20" s="1"/>
      <x:c r="H20" s="1"/>
    </x:row>
    <x:row r="21">
      <x:c r="A21" s="1"/>
      <x:c r="B21" s="1"/>
      <x:c r="C21" s="1"/>
      <x:c r="D21" s="1"/>
      <x:c r="E21" s="1"/>
      <x:c r="F21" s="1"/>
      <x:c r="G21" s="1"/>
      <x:c r="H21" s="1"/>
    </x:row>
    <x:row r="22">
      <x:c r="A22" s="1"/>
      <x:c r="B22" s="1"/>
      <x:c r="C22" s="1"/>
      <x:c r="D22" s="1"/>
      <x:c r="E22" s="1"/>
      <x:c r="F22" s="1"/>
      <x:c r="G22" s="1"/>
      <x:c r="H22" s="1"/>
    </x:row>
    <x:row r="23">
      <x:c r="A23" s="1"/>
      <x:c r="B23" s="1"/>
      <x:c r="C23" s="1"/>
      <x:c r="D23" s="1"/>
      <x:c r="E23" s="1"/>
      <x:c r="F23" s="1"/>
      <x:c r="G23" s="1"/>
      <x:c r="H23" s="1"/>
    </x:row>
    <x:row r="24">
      <x:c r="A24" s="1"/>
      <x:c r="B24" s="1"/>
      <x:c r="C24" s="1"/>
      <x:c r="D24" s="1"/>
      <x:c r="E24" s="1"/>
      <x:c r="F24" s="1"/>
      <x:c r="G24" s="1"/>
      <x:c r="H24" s="1"/>
    </x:row>
    <x:row r="25">
      <x:c r="A25" s="1"/>
      <x:c r="B25" s="1"/>
      <x:c r="C25" s="1"/>
      <x:c r="D25" s="1"/>
      <x:c r="E25" s="1"/>
      <x:c r="F25" s="1"/>
      <x:c r="G25" s="1"/>
      <x:c r="H25" s="1"/>
    </x:row>
  </x:sheetData>
  <x:mergeCells>
    <x:mergeCell ref="A1:H2"/>
    <x:mergeCell ref="A11:H13"/>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6" hidden="0" customWidth="1"/>
    <x:col min="2" max="2" width="42" hidden="0" customWidth="1"/>
    <x:col min="3" max="3" width="18" hidden="0" customWidth="1"/>
    <x:col min="4" max="4" width="18" hidden="0" customWidth="1"/>
    <x:col min="5" max="5" width="18" hidden="0" customWidth="1"/>
    <x:col min="6" max="6" width="18" hidden="0" customWidth="1"/>
  </x:cols>
  <x:sheetData>
    <x:row r="1">
      <x:c r="A1" s="1139" t="str">
        <x:v>MOTEUR DE DIMENSIONNEMENT</x:v>
      </x:c>
      <x:c r="B1" s="1139"/>
      <x:c r="C1" s="1139"/>
      <x:c r="D1" s="1139"/>
    </x:row>
    <x:row r="2">
      <x:c r="A2" s="4"/>
      <x:c r="B2" s="4"/>
      <x:c r="C2" s="4"/>
      <x:c r="D2" s="4"/>
    </x:row>
    <x:row r="3">
      <x:c r="A3" s="1"/>
      <x:c r="B3" s="1"/>
      <x:c r="C3" s="1"/>
      <x:c r="D3" s="1"/>
    </x:row>
    <x:row r="4">
      <x:c r="A4" s="9" t="str">
        <x:v>Synthèse des calculs (unités explicites)</x:v>
      </x:c>
      <x:c r="B4" s="9"/>
      <x:c r="C4" s="9"/>
      <x:c r="D4" s="9"/>
    </x:row>
    <x:row r="5">
      <x:c r="A5" s="1" t="str">
        <x:v>Énergie quotidienne totale (kWh/j)</x:v>
      </x:c>
      <x:c r="B5" s="12" t="n">
        <x:f>'Charges'!G27/1000</x:f>
        <x:v>4.545</x:v>
      </x:c>
      <x:c r="C5" s="1"/>
      <x:c r="D5" s="1"/>
    </x:row>
    <x:row r="6">
      <x:c r="A6" s="1" t="str">
        <x:v>Énergie critique quotidienne (kWh/j)</x:v>
      </x:c>
      <x:c r="B6" s="12" t="n">
        <x:f>SUMPRODUCT('Charges'!G6:G205,--('Charges'!I6:I205="Oui"))/1000</x:f>
        <x:v>2.605</x:v>
      </x:c>
      <x:c r="C6" s="1"/>
      <x:c r="D6" s="1"/>
    </x:row>
    <x:row r="7">
      <x:c r="A7" s="1" t="str">
        <x:v>Puissance maximale simultanée simplifiée (W)</x:v>
      </x:c>
      <x:c r="B7" s="12" t="n">
        <x:f>'Charges'!H27</x:f>
        <x:v>1440</x:v>
      </x:c>
      <x:c r="C7" s="1"/>
      <x:c r="D7" s="1"/>
    </x:row>
    <x:row r="8">
      <x:c r="A8" s="1" t="str">
        <x:v>HSP mois de conception (kWh/m²/j)</x:v>
      </x:c>
      <x:c r="B8" s="12" t="str">
        <x:f>IF(COUNT('Climat'!C6:C17)&lt;12,"",MIN('Climat'!C6:C17))</x:f>
      </x:c>
      <x:c r="C8" s="1"/>
      <x:c r="D8" s="1"/>
    </x:row>
    <x:row r="9">
      <x:c r="A9" s="1" t="str">
        <x:v>Irradiation complète ?</x:v>
      </x:c>
      <x:c r="B9" s="12" t="str">
        <x:f>IF(COUNT('Climat'!C6:C17)=12,"Oui","Non")</x:f>
        <x:v>Non</x:v>
      </x:c>
      <x:c r="C9" s="1"/>
      <x:c r="D9" s="1"/>
    </x:row>
    <x:row r="10">
      <x:c r="A10" s="1" t="str">
        <x:v>Puissance PV nécessaire (kWp)</x:v>
      </x:c>
      <x:c r="B10" s="12" t="str">
        <x:f>IF(OR(B5=0,B8=""),"",B5/(B8*'Projet'!B18)*(1+'Projet'!B22))</x:f>
      </x:c>
      <x:c r="C10" s="1"/>
      <x:c r="D10" s="1"/>
    </x:row>
    <x:row r="11">
      <x:c r="A11" s="1" t="str">
        <x:v>Puissance unitaire panneau choisi (W)</x:v>
      </x:c>
      <x:c r="B11" s="12" t="n">
        <x:f>IFERROR(INDEX('Catalogue PV'!C6:C205,MATCH('Projet'!B28,'Catalogue PV'!A6:A205,0)),"")</x:f>
        <x:v>580</x:v>
      </x:c>
      <x:c r="C11" s="1"/>
      <x:c r="D11" s="1"/>
    </x:row>
    <x:row r="12">
      <x:c r="A12" s="1" t="str">
        <x:v>Nombre total panneaux</x:v>
      </x:c>
      <x:c r="B12" s="52" t="str">
        <x:f>IF(OR(B10="",B11=""),"",ROUNDUP(B10*1000/B11,0))</x:f>
      </x:c>
      <x:c r="C12" s="1"/>
      <x:c r="D12" s="1"/>
    </x:row>
    <x:row r="13">
      <x:c r="A13" s="1" t="str">
        <x:v>Modules maximum en série (contrôle MPPT)</x:v>
      </x:c>
      <x:c r="B13" s="52" t="str">
        <x:f>IF(OR(B25="",'Projet'!B30=""),"",ROUNDDOWN(INDEX('Conversion'!G6:G205,MATCH('Projet'!B30,'Conversion'!A6:A205,0))/B25,0))</x:f>
      </x:c>
      <x:c r="C13" s="1"/>
      <x:c r="D13" s="1"/>
    </x:row>
    <x:row r="14">
      <x:c r="A14" s="1" t="str">
        <x:v>Branches parallèles</x:v>
      </x:c>
      <x:c r="B14" s="52" t="str">
        <x:f>IF(OR(B12="",B13=""),"",ROUNDUP(B12/B13,0))</x:f>
      </x:c>
      <x:c r="C14" s="1"/>
      <x:c r="D14" s="1"/>
    </x:row>
    <x:row r="15">
      <x:c r="A15" s="1" t="str">
        <x:v>Batterie nécessaire nominale (kWh)</x:v>
      </x:c>
      <x:c r="B15" s="12" t="n">
        <x:f>IF(OR(B6=0,'Projet'!B14="",'Projet'!B15="",'Projet'!B16=""),"",B6*1000*'Projet'!B14/('Projet'!B15*'Projet'!B16*'Projet'!B17)/1000)</x:f>
        <x:v>3.725686498855835</x:v>
      </x:c>
      <x:c r="C15" s="1"/>
      <x:c r="D15" s="1"/>
    </x:row>
    <x:row r="16">
      <x:c r="A16" s="1" t="str">
        <x:v>Capacité batterie choisie utile (kWh/module)</x:v>
      </x:c>
      <x:c r="B16" s="12" t="n">
        <x:f>IFERROR(INDEX('Stockage'!E6:E205,MATCH('Projet'!B29,'Stockage'!A6:A205,0)),"")</x:f>
        <x:v>4.56</x:v>
      </x:c>
      <x:c r="C16" s="1"/>
      <x:c r="D16" s="1"/>
    </x:row>
    <x:row r="17">
      <x:c r="A17" s="1" t="str">
        <x:v>Nombre modules batterie</x:v>
      </x:c>
      <x:c r="B17" s="52" t="n">
        <x:f>IF(OR(B15="",B16="",B16=0),"",MAX(ROUNDUP(B15/B16,0),ROUNDUP(B19/(INDEX('Stockage'!C6:C205,MATCH('Projet'!B29,'Stockage'!A6:A205,0))*INDEX('Stockage'!G6:G205,MATCH('Projet'!B29,'Stockage'!A6:A205,0))),0)))</x:f>
        <x:v>1</x:v>
      </x:c>
      <x:c r="C17" s="1"/>
      <x:c r="D17" s="1"/>
    </x:row>
    <x:row r="18">
      <x:c r="A18" s="1" t="str">
        <x:v>Capacité installée utile (kWh)</x:v>
      </x:c>
      <x:c r="B18" s="12" t="n">
        <x:f>IF(OR(B17="",B16=""),"",B17*B16)</x:f>
        <x:v>4.56</x:v>
      </x:c>
      <x:c r="C18" s="1"/>
      <x:c r="D18" s="1"/>
    </x:row>
    <x:row r="19">
      <x:c r="A19" s="1" t="str">
        <x:v>Puissance onduleur estimée (W)</x:v>
      </x:c>
      <x:c r="B19" s="12" t="n">
        <x:f>B7*(1+'Projet'!B22)*'Projet'!B23</x:f>
        <x:v>2700</x:v>
      </x:c>
      <x:c r="C19" s="1"/>
      <x:c r="D19" s="1"/>
    </x:row>
    <x:row r="20">
      <x:c r="A20" s="1" t="str">
        <x:v>Production mensuelle moyenne estimée (kWh)</x:v>
      </x:c>
      <x:c r="B20" s="12" t="str">
        <x:f>IF(B9&lt;&gt;"Oui","",AVERAGE('Climat'!E6:E17))</x:f>
      </x:c>
      <x:c r="C20" s="1"/>
      <x:c r="D20" s="1"/>
    </x:row>
    <x:row r="21">
      <x:c r="A21" s="1" t="str">
        <x:v>Durée de vie batterie (années, scénario)</x:v>
      </x:c>
      <x:c r="B21" s="12" t="str">
        <x:f>"À documenter selon chimie, température et cycles"</x:f>
        <x:v>À documenter selon chimie, température et cycles</x:v>
      </x:c>
      <x:c r="C21" s="1"/>
      <x:c r="D21" s="1"/>
    </x:row>
    <x:row r="22">
      <x:c r="A22" s="1" t="str">
        <x:v>ROI simple (années)</x:v>
      </x:c>
      <x:c r="B22" s="12" t="str">
        <x:f>IF(OR('Projet'!B24="",'Projet'!B25="",'Projet'!B24=0),"",'Projet'!B25/(B5*365*'Projet'!B24))</x:f>
      </x:c>
      <x:c r="C22" s="1"/>
      <x:c r="D22" s="1"/>
    </x:row>
    <x:row r="23">
      <x:c r="A23" s="1" t="str">
        <x:v>CO₂ évité (t/an)</x:v>
      </x:c>
      <x:c r="B23" s="12" t="str">
        <x:f>IF(OR('Projet'!B26="",'Projet'!B26=0),"",B5*365*'Projet'!B26/1000)</x:f>
      </x:c>
      <x:c r="C23" s="1"/>
      <x:c r="D23" s="1"/>
    </x:row>
    <x:row r="24">
      <x:c r="A24" s="1" t="str">
        <x:v>Groupe secours estimé (kVA)</x:v>
      </x:c>
      <x:c r="B24" s="12" t="n">
        <x:f>IF(OR(B19="",'Projet'!B21=""),"",B19/'Projet'!B21/1000)</x:f>
        <x:v>3.375</x:v>
      </x:c>
      <x:c r="C24" s="1"/>
      <x:c r="D24" s="1"/>
    </x:row>
    <x:row r="25">
      <x:c r="A25" s="1" t="str">
        <x:v>Voc module corrigé à Tmin (V)</x:v>
      </x:c>
      <x:c r="B25" s="12" t="str">
        <x:f>IF(OR('Projet'!B19="",B11=""),"",INDEX('Catalogue PV'!F6:F205,MATCH('Projet'!B28,'Catalogue PV'!A6:A205,0))*(1+INDEX('Catalogue PV'!H6:H205,MATCH('Projet'!B28,'Catalogue PV'!A6:A205,0))/100*('Projet'!B19-25)))</x:f>
      </x:c>
      <x:c r="C25" s="1"/>
      <x:c r="D25" s="1"/>
    </x:row>
    <x:row r="26">
      <x:c r="A26" t="str">
        <x:v>Voc string proposé (V)</x:v>
      </x:c>
      <x:c r="B26" s="12" t="str">
        <x:f>IF(OR(B13="",B25=""),"",B13*B25)</x:f>
      </x:c>
    </x:row>
    <x:row r="27">
      <x:c r="A27" t="str">
        <x:v>Contrôle Voc string corrigé / Vdc max MPPT</x:v>
      </x:c>
      <x:c r="B27" s="53" t="str">
        <x:f>IF(OR(B26="",'Projet'!B30=""),"À vérifier",IF(B26&lt;=INDEX('Conversion'!G6:G205,MATCH('Projet'!B30,'Conversion'!A6:A205,0)),"Sous le Vdc max MPPT","DÉPASSE Vdc max MPPT"))</x:f>
        <x:v>À vérifier</x:v>
      </x:c>
    </x:row>
    <x:row r="28">
      <x:c r="A28" t="str">
        <x:v>Contrôle complétude</x:v>
      </x:c>
      <x:c r="B28" s="53" t="str">
        <x:f>IF(AND(B9="Oui",B10&lt;&gt;"",B12&lt;&gt;"",B17&lt;&gt;""),"Calculs principaux disponibles","Entrées manquantes")</x:f>
        <x:v>Entrées manquantes</x:v>
      </x:c>
    </x:row>
    <x:row r="29">
      <x:c r="A29" t="str">
        <x:v>Statut de préparation</x:v>
      </x:c>
      <x:c r="B29" s="53" t="str">
        <x:f>IF(AND('Projet'!B27="Oui",B28="Calculs principaux disponibles",B27&lt;&gt;"À vérifier"),"À REVUE TECHNIQUE","INCOMPLET / DÉMO")</x:f>
        <x:v>INCOMPLET / DÉMO</x:v>
      </x:c>
    </x:row>
    <x:row r="30" ht="32" customHeight="1">
      <x:c r="A30" s="934" t="str">
        <x:v>Puissance continue de l’onduleur choisi (W)</x:v>
      </x:c>
      <x:c r="B30" s="933" t="n">
        <x:f>IFERROR(INDEX('Conversion'!F12:F205,MATCH('Projet'!B31,'Conversion'!A12:A205,0)),"")</x:f>
        <x:v>4000</x:v>
      </x:c>
      <x:c r="C30" s="1006"/>
      <x:c r="D30" s="1006"/>
    </x:row>
    <x:row r="31" ht="32" customHeight="1">
      <x:c r="A31" s="934" t="str">
        <x:v>Puissance PV conseillée admissible du MPPT choisi (W)</x:v>
      </x:c>
      <x:c r="B31" s="933" t="n">
        <x:f>IFERROR(INDEX('Conversion'!F6:F205,MATCH('Projet'!B30,'Conversion'!A6:A205,0)),"")</x:f>
        <x:v>5800</x:v>
      </x:c>
      <x:c r="C31" s="1007"/>
      <x:c r="D31" s="1007"/>
    </x:row>
    <x:row r="32" ht="32" customHeight="1">
      <x:c r="A32" s="934" t="str">
        <x:v>Contrôle puissance champ / MPPT</x:v>
      </x:c>
      <x:c r="B32" s="933" t="str">
        <x:f>IF(OR(B12="",B31=""),"Climat à saisir",IF(B12*B11&lt;=B31,"Dans la puissance nominale","À vérifier : champ supérieur au nominal MPPT"))</x:f>
        <x:v>Climat à saisir</x:v>
      </x:c>
      <x:c r="C32" s="1007"/>
      <x:c r="D32" s="1007"/>
    </x:row>
    <x:row r="33" ht="32" customHeight="1">
      <x:c r="A33" s="934" t="str">
        <x:v>Contrôle puissance requise / onduleur</x:v>
      </x:c>
      <x:c r="B33" s="933" t="str">
        <x:f>IF(OR(B19="",B40="",B41=""),"Choix recommandé en cours",IF(B40*B41&gt;=B19,"La recommandation automatique couvre le besoin; vérifier phases et démarrage","La recommandation reste insuffisante selon les W continus"))</x:f>
        <x:v>La recommandation automatique couvre le besoin; vérifier phases et démarrage</x:v>
      </x:c>
      <x:c r="C33" s="1007"/>
      <x:c r="D33" s="1007"/>
    </x:row>
    <x:row r="34" ht="32" customHeight="1">
      <x:c r="A34" s="934" t="str">
        <x:v>Compatibilité batterie / bus DC</x:v>
      </x:c>
      <x:c r="B34" s="933" t="str">
        <x:f>IF(OR('Projet'!B13="",'Projet'!B29=""),"Entrées manquantes",IF(ABS(INDEX('Stockage'!C6:C205,MATCH('Projet'!B29,'Stockage'!A6:A205,0))-'Projet'!B13)/'Projet'!B13&lt;=0.1,"Tension nominale cohérente","INCOMPATIBLE : tension batterie différente du bus"))</x:f>
        <x:v>Tension nominale cohérente</x:v>
      </x:c>
      <x:c r="C34" s="1007"/>
      <x:c r="D34" s="1007"/>
    </x:row>
    <x:row r="35" ht="32" customHeight="1">
      <x:c r="A35" s="934" t="str">
        <x:v>Compatibilité bus / onduleur</x:v>
      </x:c>
      <x:c r="B35" s="933" t="str">
        <x:f>IF(OR('Projet'!B13="",'Projet'!B31=""),"Entrées manquantes",IF(AND('Projet'!B13&gt;=INDEX('Conversion'!D12:D205,MATCH('Projet'!B31,'Conversion'!A12:A205,0)),'Projet'!B13&lt;=INDEX('Conversion'!E12:E205,MATCH('Projet'!B31,'Conversion'!A12:A205,0))),"Bus dans la plage batterie onduleur","INCOMPATIBLE : bus hors plage onduleur"))</x:f>
        <x:v>Bus dans la plage batterie onduleur</x:v>
      </x:c>
      <x:c r="C35" s="944"/>
      <x:c r="D35" s="944"/>
    </x:row>
    <x:row r="36" ht="32" customHeight="1">
      <x:c r="A36" s="934" t="str">
        <x:v>Batterie / plage onduleur</x:v>
      </x:c>
      <x:c r="B36" s="933" t="str">
        <x:f>IF(OR('Projet'!B29="",'Projet'!B31=""),"Entrées manquantes",IF(AND(INDEX('Stockage'!C6:C205,MATCH('Projet'!B29,'Stockage'!A6:A205,0))&gt;=INDEX('Conversion'!D12:D205,MATCH('Projet'!B31,'Conversion'!A12:A205,0)),INDEX('Stockage'!C6:C205,MATCH('Projet'!B29,'Stockage'!A6:A205,0))&lt;=INDEX('Conversion'!E12:E205,MATCH('Projet'!B31,'Conversion'!A12:A205,0))),"Tensions batterie / onduleur compatibles","INCOMPATIBLE : vérifier technologie batterie/onduleur"))</x:f>
        <x:v>Tensions batterie / onduleur compatibles</x:v>
      </x:c>
      <x:c r="C36" s="944"/>
      <x:c r="D36" s="944"/>
    </x:row>
    <x:row r="37" ht="32" customHeight="1">
      <x:c r="A37" s="934" t="str">
        <x:v>Compatibilité MPPT / bus batterie</x:v>
      </x:c>
      <x:c r="B37" s="933" t="str">
        <x:f>IF(OR('Projet'!B13="",'Projet'!B30=""),"Entrées manquantes",IF(AND('Projet'!B13&gt;=INDEX('Conversion'!D6:D205,MATCH('Projet'!B30,'Conversion'!A6:A205,0)),'Projet'!B13&lt;=INDEX('Conversion'!E6:E205,MATCH('Projet'!B30,'Conversion'!A6:A205,0))),"Bus dans la plage du MPPT","INCOMPATIBLE : bus hors plage MPPT"))</x:f>
        <x:v>Bus dans la plage du MPPT</x:v>
      </x:c>
      <x:c r="C37" s="944"/>
      <x:c r="D37" s="944"/>
    </x:row>
    <x:row r="38" ht="32" customHeight="1">
      <x:c r="A38" s="934" t="str">
        <x:v>Association MPPT intégré / onduleur</x:v>
      </x:c>
      <x:c r="B38" s="933" t="str">
        <x:f>IF(LEFT('Projet'!B30,7)&lt;&gt;"Huawei-","Contrôler le schéma fabricant",IF('Projet'!B31=SUBSTITUTE('Projet'!B30,"-MPPT",""),"MPPT intégré associé au bon onduleur","INCOMPATIBLE : choisir le MPPT intégré du même Huawei L1"))</x:f>
        <x:v>Contrôler le schéma fabricant</x:v>
      </x:c>
      <x:c r="C38" s="944"/>
      <x:c r="D38" s="944"/>
    </x:row>
    <x:row r="39" ht="54" customHeight="1">
      <x:c r="A39" s="934" t="str">
        <x:v>Onduleur recommandé — puissance supérieure la plus proche</x:v>
      </x:c>
      <x:c r="B39" s="933" t="str">
        <x:f>IF(B7=0,"Saisir les charges",IF(COUNT('Conversion'!L12:L205)&gt;0,INDEX('Conversion'!A12:A205,MATCH(MIN('Conversion'!L12:L205),'Conversion'!L12:L205,0)),IF(COUNT('Conversion'!K12:K205)&gt;0,INDEX('Conversion'!A12:A205,MATCH(MAX('Conversion'!K12:K205),'Conversion'!K12:K205,0)),"Catalogue onduleur incomplet")))</x:f>
        <x:v>Deye-SUN-3K-SG05LP3-EU-SM2</x:v>
      </x:c>
      <x:c r="C39" s="1006"/>
      <x:c r="D39" s="1006"/>
    </x:row>
    <x:row r="40" ht="38" customHeight="1">
      <x:c r="A40" s="934" t="str">
        <x:v>Puissance continue de la recommandation (W)</x:v>
      </x:c>
      <x:c r="B40" s="933" t="n">
        <x:f>IFERROR(INDEX('Conversion'!F12:F205,MATCH(B39,'Conversion'!A12:A205,0)),"")</x:f>
        <x:v>3000</x:v>
      </x:c>
      <x:c r="C40" s="944"/>
      <x:c r="D40" s="944"/>
    </x:row>
    <x:row r="41" ht="38" customHeight="1">
      <x:c r="A41" s="934" t="str">
        <x:v>Nombre d’onduleurs requis</x:v>
      </x:c>
      <x:c r="B41" s="933" t="n">
        <x:f>IF(OR(B19="",B40="",B40=0),"",ROUNDUP(B19/B40,0))</x:f>
        <x:v>1</x:v>
      </x:c>
      <x:c r="C41" s="944"/>
      <x:c r="D41" s="944"/>
    </x:row>
    <x:row r="42" ht="72" customHeight="1">
      <x:c r="A42" s="934" t="str">
        <x:v>Alerte de couplage AC</x:v>
      </x:c>
      <x:c r="B42" s="933" t="str">
        <x:f>IF(B41="","Dimensionnement incomplet",IF(B41=1,"1 unité recommandée; respecter le schéma fabricant",IF(INDEX('Conversion'!M12:M205,MATCH(B39,'Conversion'!A12:A205,0))="Oui","Parallèle uniquement selon notice et limites constructeur; jamais en série","PLUSIEURS UNITÉS : parallèle AC non confirmé. Ne pas câbler avant confirmation écrite du fabricant; sinon choisir une architecture/onduleur de plus forte puissance. Onduleurs en série : interdit par défaut.")))</x:f>
        <x:v>1 unité recommandée; respecter le schéma fabricant</x:v>
      </x:c>
      <x:c r="C42" s="944"/>
      <x:c r="D42" s="944"/>
    </x:row>
    <x:row r="43" ht="38" customHeight="1">
      <x:c r="A43" s="934" t="str">
        <x:v>Comparaison avec la référence choisie dans Projet</x:v>
      </x:c>
      <x:c r="B43" s="933" t="str">
        <x:f>IF(B39="","",IF(B39='Projet'!B31,"La référence choisie correspond au besoin","La référence choisie diffère : recommandation automatique = "&amp;B39))</x:f>
        <x:v>La référence choisie diffère : recommandation automatique = Deye-SUN-3K-SG05LP3-EU-SM2</x:v>
      </x:c>
      <x:c r="C43" s="944"/>
      <x:c r="D43" s="944"/>
    </x:row>
    <x:row r="44" ht="38" customHeight="1">
      <x:c r="A44" s="934" t="str">
        <x:v>Nombre de MPPT de la référence choisie</x:v>
      </x:c>
      <x:c r="B44" s="933" t="str">
        <x:f>IF(OR(B12="",B11="",B31=""),"",ROUNDUP(B12*B11/INDEX('Conversion'!F6:F205,MATCH('Projet'!B30,'Conversion'!A6:A205,0)),0))</x:f>
      </x:c>
      <x:c r="C44" s="1006"/>
      <x:c r="D44" s="1006"/>
    </x:row>
    <x:row r="45" ht="52" customHeight="1">
      <x:c r="A45" s="934" t="str">
        <x:v>Configuration PV série / parallèle à vérifier</x:v>
      </x:c>
      <x:c r="B45" s="933" t="str">
        <x:f>IF(OR(B12="",B13="",B14=""),"",IF(MOD(B12,B14)=0,B14&amp;" strings identiques de "&amp;B12/B14&amp;" modules en série","Répartir "&amp;B12&amp;" modules en "&amp;B14&amp;" strings; longueurs inégales à éviter — ajuster série/parallèle"))</x:f>
      </x:c>
      <x:c r="C45" s="1006"/>
      <x:c r="D45" s="1006"/>
    </x:row>
    <x:row r="46" ht="38" customHeight="1">
      <x:c r="A46" s="934" t="str">
        <x:v>Marge de croissance appliquée</x:v>
      </x:c>
      <x:c r="B46" s="933" t="str">
        <x:f>IF('Projet'!B22="","",TEXT('Projet'!B22,"0%")&amp;" de réserve inclus dans PV et onduleur")</x:f>
        <x:v>25% de réserve inclus dans PV et onduleur</x:v>
      </x:c>
      <x:c r="C46" s="1006"/>
      <x:c r="D46" s="1006"/>
    </x:row>
    <x:row r="48">
      <x:c r="A48" s="930" t="str">
        <x:v>La configuration réelle des strings doit respecter Voc au froid, Vmp en fonctionnement, Isc par tracker et limites du MPPT. Le nombre de MPPT est arrondi selon la puissance PV admissible de la référence choisie. Les sorties AC d’onduleurs ne se mettent jamais en série; le parallélisme est autorisé seulement si la fiche fabricant du SKU l’approuve explicitement.</x:v>
      </x:c>
      <x:c r="B48" s="930"/>
      <x:c r="C48" s="930"/>
      <x:c r="D48" s="930"/>
    </x:row>
    <x:row r="49">
      <x:c r="A49" s="930"/>
      <x:c r="B49" s="930"/>
      <x:c r="C49" s="930"/>
      <x:c r="D49" s="930"/>
    </x:row>
    <x:row r="50">
      <x:c r="A50" s="930"/>
      <x:c r="B50" s="930"/>
      <x:c r="C50" s="930"/>
      <x:c r="D50" s="930"/>
    </x:row>
  </x:sheetData>
  <x:mergeCells>
    <x:mergeCell ref="A1:D2"/>
    <x:mergeCell ref="A4:D4"/>
    <x:mergeCell ref="A48:D50"/>
  </x:mergeCells>
  <x:pageMargins left="0.7" right="0.7" top="0.75" bottom="0.75" header="0.3" footer="0.3"/>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s>
  <x:sheetData>
    <x:row r="1">
      <x:c r="A1" s="1139" t="str">
        <x:v>NOMENCLATURE PRÉLIMINAIRE</x:v>
      </x:c>
      <x:c r="B1" s="1139"/>
      <x:c r="C1" s="1139"/>
      <x:c r="D1" s="1139"/>
      <x:c r="E1" s="1139"/>
      <x:c r="F1" s="1139"/>
    </x:row>
    <x:row r="2">
      <x:c r="A2" s="4"/>
      <x:c r="B2" s="4"/>
      <x:c r="C2" s="4"/>
      <x:c r="D2" s="4"/>
      <x:c r="E2" s="4"/>
      <x:c r="F2" s="4"/>
    </x:row>
    <x:row r="3">
      <x:c r="A3" s="1"/>
      <x:c r="B3" s="1"/>
      <x:c r="C3" s="1"/>
      <x:c r="D3" s="1"/>
      <x:c r="E3" s="1"/>
      <x:c r="F3" s="1"/>
    </x:row>
    <x:row r="4">
      <x:c r="A4" s="1"/>
      <x:c r="B4" s="1"/>
      <x:c r="C4" s="1"/>
      <x:c r="D4" s="1"/>
      <x:c r="E4" s="1"/>
      <x:c r="F4" s="1"/>
    </x:row>
    <x:row r="5" ht="32" customHeight="1">
      <x:c r="A5" s="35" t="str">
        <x:v>Lot</x:v>
      </x:c>
      <x:c r="B5" s="35" t="str">
        <x:v>Équipement</x:v>
      </x:c>
      <x:c r="C5" s="35" t="str">
        <x:v>Référence choisie</x:v>
      </x:c>
      <x:c r="D5" s="35" t="str">
        <x:v>Quantité calculée</x:v>
      </x:c>
      <x:c r="E5" s="35" t="str">
        <x:v>Prix unitaire FCFA (à saisir)</x:v>
      </x:c>
      <x:c r="F5" s="35" t="str">
        <x:v>Total FCFA</x:v>
      </x:c>
    </x:row>
    <x:row r="6">
      <x:c r="A6" s="1" t="str">
        <x:v>Production</x:v>
      </x:c>
      <x:c r="B6" s="1" t="str">
        <x:v>Module PV</x:v>
      </x:c>
      <x:c r="C6" s="11" t="str">
        <x:f>'Projet'!B28</x:f>
        <x:v>JKM580-72HL4-BDV</x:v>
      </x:c>
      <x:c r="D6" s="11" t="n">
        <x:f>'Calculs'!B12</x:f>
        <x:v>0</x:v>
      </x:c>
      <x:c r="E6" s="37"/>
      <x:c r="F6" s="11" t="str">
        <x:f>IF(OR(D6="",E6=""),"",D6*E6)</x:f>
      </x:c>
    </x:row>
    <x:row r="7">
      <x:c r="A7" s="1" t="str">
        <x:v>Stockage</x:v>
      </x:c>
      <x:c r="B7" s="1" t="str">
        <x:v>Batterie</x:v>
      </x:c>
      <x:c r="C7" s="11" t="str">
        <x:f>'Projet'!B29</x:f>
        <x:v>US5000</x:v>
      </x:c>
      <x:c r="D7" s="11" t="n">
        <x:f>'Calculs'!B17</x:f>
        <x:v>1</x:v>
      </x:c>
      <x:c r="E7" s="37"/>
      <x:c r="F7" s="11" t="str">
        <x:f>IF(OR(D7="",E7=""),"",D7*E7)</x:f>
      </x:c>
    </x:row>
    <x:row r="8">
      <x:c r="A8" s="1" t="str">
        <x:v>Régulation</x:v>
      </x:c>
      <x:c r="B8" s="1" t="str">
        <x:v>MPPT</x:v>
      </x:c>
      <x:c r="C8" s="11" t="str">
        <x:f>'Projet'!B30</x:f>
        <x:v>Victron-150-100</x:v>
      </x:c>
      <x:c r="D8" s="11" t="n">
        <x:f>'Calculs'!B44</x:f>
        <x:v>0</x:v>
      </x:c>
      <x:c r="E8" s="37"/>
      <x:c r="F8" s="11" t="str">
        <x:f>IF(OR(D8="",E8=""),"",D8*E8)</x:f>
      </x:c>
    </x:row>
    <x:row r="9">
      <x:c r="A9" s="1" t="str">
        <x:v>Conversion</x:v>
      </x:c>
      <x:c r="B9" s="1" t="str">
        <x:v>Onduleur / hybride</x:v>
      </x:c>
      <x:c r="C9" s="11" t="str">
        <x:f>'Calculs'!B39</x:f>
        <x:v>Deye-SUN-3K-SG05LP3-EU-SM2</x:v>
      </x:c>
      <x:c r="D9" s="11" t="n">
        <x:f>'Calculs'!B41</x:f>
        <x:v>1</x:v>
      </x:c>
      <x:c r="E9" s="37"/>
      <x:c r="F9" s="11" t="str">
        <x:f>IF(OR(D9="",E9=""),"",D9*E9)</x:f>
      </x:c>
    </x:row>
    <x:row r="10">
      <x:c r="A10" s="1" t="str">
        <x:v>Électrique</x:v>
      </x:c>
      <x:c r="B10" s="1" t="str">
        <x:v>Câbles/protections/coffrets</x:v>
      </x:c>
      <x:c r="C10" s="11"/>
      <x:c r="D10" s="11" t="n">
        <x:v>1</x:v>
      </x:c>
      <x:c r="E10" s="37"/>
      <x:c r="F10" s="11" t="str">
        <x:f>IF(OR(D10="",E10=""),"",D10*E10)</x:f>
      </x:c>
    </x:row>
    <x:row r="11">
      <x:c r="A11" s="45" t="str">
        <x:v>Total estimatif (lignes chiffrées)</x:v>
      </x:c>
      <x:c r="B11" s="45"/>
      <x:c r="C11" s="45"/>
      <x:c r="D11" s="45"/>
      <x:c r="E11" s="45"/>
      <x:c r="F11" s="55" t="n">
        <x:f>SUM(F6:F10)</x:f>
        <x:v>0</x:v>
      </x:c>
    </x:row>
    <x:row r="12">
      <x:c r="A12" s="1"/>
      <x:c r="B12" s="1"/>
      <x:c r="C12" s="1"/>
      <x:c r="D12" s="1"/>
      <x:c r="E12" s="1"/>
      <x:c r="F12" s="1"/>
    </x:row>
    <x:row r="13">
      <x:c r="A13" s="1"/>
      <x:c r="B13" s="1"/>
      <x:c r="C13" s="1"/>
      <x:c r="D13" s="1"/>
      <x:c r="E13" s="1"/>
      <x:c r="F13" s="1"/>
    </x:row>
    <x:row r="14">
      <x:c r="A14" s="50" t="str">
        <x:v>Quantités préliminaires. Les protections, coffrets, chemins de câbles, mise à la terre, parafoudres et accessoires doivent être définis et chiffrés après plans, longueurs, conditions de pose, étude de défaut et prescriptions locales. Les prix restent vides exprès.</x:v>
      </x:c>
      <x:c r="B14" s="50"/>
      <x:c r="C14" s="50"/>
      <x:c r="D14" s="50"/>
      <x:c r="E14" s="50"/>
      <x:c r="F14" s="50"/>
    </x:row>
    <x:row r="15">
      <x:c r="A15" s="50"/>
      <x:c r="B15" s="50"/>
      <x:c r="C15" s="50"/>
      <x:c r="D15" s="50"/>
      <x:c r="E15" s="50"/>
      <x:c r="F15" s="50"/>
    </x:row>
    <x:row r="16">
      <x:c r="A16" s="50"/>
      <x:c r="B16" s="50"/>
      <x:c r="C16" s="50"/>
      <x:c r="D16" s="50"/>
      <x:c r="E16" s="50"/>
      <x:c r="F16" s="50"/>
    </x:row>
    <x:row r="17">
      <x:c r="A17" s="1"/>
      <x:c r="B17" s="1"/>
      <x:c r="C17" s="1"/>
      <x:c r="D17" s="1"/>
      <x:c r="E17" s="1"/>
      <x:c r="F17" s="1"/>
    </x:row>
    <x:row r="18">
      <x:c r="A18" s="1"/>
      <x:c r="B18" s="1"/>
      <x:c r="C18" s="1"/>
      <x:c r="D18" s="1"/>
      <x:c r="E18" s="1"/>
      <x:c r="F18" s="1"/>
    </x:row>
    <x:row r="19">
      <x:c r="A19" s="1"/>
      <x:c r="B19" s="1"/>
      <x:c r="C19" s="1"/>
      <x:c r="D19" s="1"/>
      <x:c r="E19" s="1"/>
      <x:c r="F19" s="1"/>
    </x:row>
    <x:row r="20">
      <x:c r="A20" s="1"/>
      <x:c r="B20" s="1"/>
      <x:c r="C20" s="1"/>
      <x:c r="D20" s="1"/>
      <x:c r="E20" s="1"/>
      <x:c r="F20" s="1"/>
    </x:row>
    <x:row r="21">
      <x:c r="A21" s="1"/>
      <x:c r="B21" s="1"/>
      <x:c r="C21" s="1"/>
      <x:c r="D21" s="1"/>
      <x:c r="E21" s="1"/>
      <x:c r="F21" s="1"/>
    </x:row>
    <x:row r="22">
      <x:c r="A22" s="1"/>
      <x:c r="B22" s="1"/>
      <x:c r="C22" s="1"/>
      <x:c r="D22" s="1"/>
      <x:c r="E22" s="1"/>
      <x:c r="F22" s="1"/>
    </x:row>
    <x:row r="23">
      <x:c r="A23" s="1"/>
      <x:c r="B23" s="1"/>
      <x:c r="C23" s="1"/>
      <x:c r="D23" s="1"/>
      <x:c r="E23" s="1"/>
      <x:c r="F23" s="1"/>
    </x:row>
    <x:row r="24">
      <x:c r="A24" s="1"/>
      <x:c r="B24" s="1"/>
      <x:c r="C24" s="1"/>
      <x:c r="D24" s="1"/>
      <x:c r="E24" s="1"/>
      <x:c r="F24" s="1"/>
    </x:row>
    <x:row r="25">
      <x:c r="A25" s="1"/>
      <x:c r="B25" s="1"/>
      <x:c r="C25" s="1"/>
      <x:c r="D25" s="1"/>
      <x:c r="E25" s="1"/>
      <x:c r="F25" s="1"/>
    </x:row>
  </x:sheetData>
  <x:mergeCells>
    <x:mergeCell ref="A1:F2"/>
    <x:mergeCell ref="A14:F16"/>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s>
  <x:sheetData>
    <x:row r="1">
      <x:c r="A1" s="1139" t="str">
        <x:v>RAPPORT DE PRÉ-DIMENSIONNEMENT</x:v>
      </x:c>
      <x:c r="B1" s="1139"/>
      <x:c r="C1" s="1139"/>
      <x:c r="D1" s="1139"/>
      <x:c r="E1" s="1139"/>
      <x:c r="F1" s="1139"/>
    </x:row>
    <x:row r="2">
      <x:c r="A2" s="4"/>
      <x:c r="B2" s="4"/>
      <x:c r="C2" s="4"/>
      <x:c r="D2" s="4"/>
      <x:c r="E2" s="4"/>
      <x:c r="F2" s="4"/>
    </x:row>
    <x:row r="3">
      <x:c r="A3" s="1"/>
      <x:c r="B3" s="1"/>
      <x:c r="C3" s="1"/>
      <x:c r="D3" s="1"/>
      <x:c r="E3" s="1"/>
      <x:c r="F3" s="1"/>
    </x:row>
    <x:row r="4">
      <x:c r="A4" s="9" t="str">
        <x:v>Synthèse projet</x:v>
      </x:c>
      <x:c r="B4" s="9"/>
      <x:c r="C4" s="9"/>
      <x:c r="D4" s="9"/>
      <x:c r="E4" s="9"/>
      <x:c r="F4" s="9"/>
    </x:row>
    <x:row r="5">
      <x:c r="A5" s="1" t="str">
        <x:v>Projet</x:v>
      </x:c>
      <x:c r="B5" s="11" t="str">
        <x:f>'Projet'!B5</x:f>
        <x:v>DÉMO - à remplacer</x:v>
      </x:c>
      <x:c r="C5" s="1"/>
      <x:c r="D5" s="1"/>
      <x:c r="E5" s="1"/>
      <x:c r="F5" s="1"/>
    </x:row>
    <x:row r="6">
      <x:c r="A6" s="1" t="str">
        <x:v>Site</x:v>
      </x:c>
      <x:c r="B6" s="11" t="str">
        <x:f>'Projet'!B8</x:f>
        <x:v>Dakar (coordonnées indicatives)</x:v>
      </x:c>
      <x:c r="C6" s="1"/>
      <x:c r="D6" s="1"/>
      <x:c r="E6" s="1"/>
      <x:c r="F6" s="1"/>
    </x:row>
    <x:row r="7">
      <x:c r="A7" s="1" t="str">
        <x:v>Architecture</x:v>
      </x:c>
      <x:c r="B7" s="11" t="str">
        <x:f>'Projet'!B7</x:f>
        <x:v>Autonome</x:v>
      </x:c>
      <x:c r="C7" s="1"/>
      <x:c r="D7" s="1"/>
      <x:c r="E7" s="1"/>
      <x:c r="F7" s="1"/>
    </x:row>
    <x:row r="8">
      <x:c r="A8" s="1" t="str">
        <x:v>Énergie journalière (kWh/j)</x:v>
      </x:c>
      <x:c r="B8" s="11" t="n">
        <x:f>'Calculs'!B5</x:f>
        <x:v>4.545</x:v>
      </x:c>
      <x:c r="C8" s="1"/>
      <x:c r="D8" s="1"/>
      <x:c r="E8" s="1"/>
      <x:c r="F8" s="1"/>
    </x:row>
    <x:row r="9">
      <x:c r="A9" s="1" t="str">
        <x:v>Puissance PV requise (kWp)</x:v>
      </x:c>
      <x:c r="B9" s="11" t="n">
        <x:f>'Calculs'!B10</x:f>
        <x:v>0</x:v>
      </x:c>
      <x:c r="C9" s="1"/>
      <x:c r="D9" s="1"/>
      <x:c r="E9" s="1"/>
      <x:c r="F9" s="1"/>
    </x:row>
    <x:row r="10">
      <x:c r="A10" s="1" t="str">
        <x:v>Modules PV</x:v>
      </x:c>
      <x:c r="B10" s="11" t="n">
        <x:f>'Calculs'!B12</x:f>
        <x:v>0</x:v>
      </x:c>
      <x:c r="C10" s="1"/>
      <x:c r="D10" s="1"/>
      <x:c r="E10" s="1"/>
      <x:c r="F10" s="1"/>
    </x:row>
    <x:row r="11">
      <x:c r="A11" s="1" t="str">
        <x:v>Capacité utile batterie (kWh)</x:v>
      </x:c>
      <x:c r="B11" s="11" t="n">
        <x:f>'Calculs'!B18</x:f>
        <x:v>4.56</x:v>
      </x:c>
      <x:c r="C11" s="1"/>
      <x:c r="D11" s="1"/>
      <x:c r="E11" s="1"/>
      <x:c r="F11" s="1"/>
    </x:row>
    <x:row r="12">
      <x:c r="A12" s="1" t="str">
        <x:v>Modules batterie</x:v>
      </x:c>
      <x:c r="B12" s="11" t="n">
        <x:f>'Calculs'!B17</x:f>
        <x:v>1</x:v>
      </x:c>
      <x:c r="C12" s="1"/>
      <x:c r="D12" s="1"/>
      <x:c r="E12" s="1"/>
      <x:c r="F12" s="1"/>
    </x:row>
    <x:row r="13">
      <x:c r="A13" s="1" t="str">
        <x:v>Onduleur recommandé (SKU × nombre)</x:v>
      </x:c>
      <x:c r="B13" s="11" t="str">
        <x:f>'Calculs'!B39&amp;" × "&amp;'Calculs'!B41</x:f>
        <x:v>Deye-SUN-3K-SG05LP3-EU-SM2 × 1</x:v>
      </x:c>
      <x:c r="C13" s="1"/>
      <x:c r="D13" s="1"/>
      <x:c r="E13" s="1"/>
      <x:c r="F13" s="1"/>
    </x:row>
    <x:row r="14">
      <x:c r="A14" s="1" t="str">
        <x:v>Statut</x:v>
      </x:c>
      <x:c r="B14" s="11" t="str">
        <x:f>'Calculs'!B29</x:f>
        <x:v>INCOMPLET / DÉMO</x:v>
      </x:c>
      <x:c r="C14" s="1"/>
      <x:c r="D14" s="1"/>
      <x:c r="E14" s="1"/>
      <x:c r="F14" s="1"/>
    </x:row>
    <x:row r="15">
      <x:c r="A15" s="1" t="str">
        <x:v>Réserve appliquée</x:v>
      </x:c>
      <x:c r="B15" s="1" t="str">
        <x:f>'Calculs'!B46</x:f>
        <x:v>25% de réserve inclus dans PV et onduleur</x:v>
      </x:c>
      <x:c r="C15" s="1"/>
      <x:c r="D15" s="1"/>
      <x:c r="E15" s="1"/>
      <x:c r="F15" s="1"/>
    </x:row>
    <x:row r="16">
      <x:c r="A16" s="9" t="str">
        <x:v>Hypothèses, points à confirmer et conformité</x:v>
      </x:c>
      <x:c r="B16" s="9"/>
      <x:c r="C16" s="9"/>
      <x:c r="D16" s="9"/>
      <x:c r="E16" s="9"/>
      <x:c r="F16" s="9"/>
    </x:row>
    <x:row r="17" ht="34" customHeight="1">
      <x:c r="A17" s="56" t="str">
        <x:v>Climat : données mensuelles du plan des modules à documenter (PVGIS ou source mesurée).</x:v>
      </x:c>
      <x:c r="B17" s="56"/>
      <x:c r="C17" s="56"/>
      <x:c r="D17" s="56"/>
      <x:c r="E17" s="56"/>
      <x:c r="F17" s="56"/>
    </x:row>
    <x:row r="18" ht="34" customHeight="1">
      <x:c r="A18" s="56" t="str">
        <x:v>Tarifs / ROI / CO₂ : non calculés sans tarif, coût installé et facteur d’émission vérifiés.</x:v>
      </x:c>
      <x:c r="B18" s="56"/>
      <x:c r="C18" s="56"/>
      <x:c r="D18" s="56"/>
      <x:c r="E18" s="56"/>
      <x:c r="F18" s="56"/>
    </x:row>
    <x:row r="19" ht="34" customHeight="1">
      <x:c r="A19" s="56" t="str">
        <x:v>Électricité au Sénégal : vérifier les exigences ASN, Senelec et CRSE selon le mode de raccordement.</x:v>
      </x:c>
      <x:c r="B19" s="56"/>
      <x:c r="C19" s="56"/>
      <x:c r="D19" s="56"/>
      <x:c r="E19" s="56"/>
      <x:c r="F19" s="56"/>
    </x:row>
    <x:row r="20" ht="34" customHeight="1">
      <x:c r="A20" s="56" t="str">
        <x:v>Le règlement CRSE n°01/2023 concerne la procédure de déclaration de l’autoproduction; confirmer les obligations applicables au projet auprès de la CRSE.</x:v>
      </x:c>
      <x:c r="B20" s="56"/>
      <x:c r="C20" s="56"/>
      <x:c r="D20" s="56"/>
      <x:c r="E20" s="56"/>
      <x:c r="F20" s="56"/>
    </x:row>
    <x:row r="21" ht="34" customHeight="1">
      <x:c r="A21" s="56" t="str">
        <x:v>La norme basse tension NS 01-001 et autres prescriptions applicables doivent être vérifiées par le concepteur.</x:v>
      </x:c>
      <x:c r="B21" s="56"/>
      <x:c r="C21" s="56"/>
      <x:c r="D21" s="56"/>
      <x:c r="E21" s="56"/>
      <x:c r="F21" s="56"/>
    </x:row>
    <x:row r="22" ht="34" customHeight="1">
      <x:c r="A22" s="56" t="str">
        <x:v>Matériels : vérifier fiche fabricant à jour, garanties, homologations, disponibilité et compatibilité.</x:v>
      </x:c>
      <x:c r="B22" s="56"/>
      <x:c r="C22" s="56"/>
      <x:c r="D22" s="56"/>
      <x:c r="E22" s="56"/>
      <x:c r="F22" s="56"/>
    </x:row>
    <x:row r="23" ht="34" customHeight="1">
      <x:c r="A23" s="56" t="str">
        <x:v>Aucun résultat de ce document ne constitue une attestation de conformité ni un plan d’exécution.</x:v>
      </x:c>
      <x:c r="B23" s="56"/>
      <x:c r="C23" s="56"/>
      <x:c r="D23" s="56"/>
      <x:c r="E23" s="56"/>
      <x:c r="F23" s="56"/>
    </x:row>
    <x:row r="24">
      <x:c r="A24" s="1"/>
      <x:c r="B24" s="1"/>
      <x:c r="C24" s="1"/>
      <x:c r="D24" s="1"/>
      <x:c r="E24" s="1"/>
      <x:c r="F24" s="1"/>
    </x:row>
    <x:row r="25">
      <x:c r="A25" s="57" t="str">
        <x:v>Sources réglementaires / techniques : ASN (NS 01-001), CRSE (Règlement d’application n°01/2023), PVGIS JRC, fiches fabricants liées dans les feuilles de catalogue. Date de préparation : 12/10/2026. La revue réglementaire doit être actualisée avant réalisation.</x:v>
      </x:c>
      <x:c r="B25" s="57"/>
      <x:c r="C25" s="57"/>
      <x:c r="D25" s="57"/>
      <x:c r="E25" s="57"/>
      <x:c r="F25" s="57"/>
    </x:row>
    <x:row r="26">
      <x:c r="A26" s="29"/>
      <x:c r="B26" s="29"/>
      <x:c r="C26" s="29"/>
      <x:c r="D26" s="29"/>
      <x:c r="E26" s="29"/>
      <x:c r="F26" s="29"/>
    </x:row>
    <x:row r="27">
      <x:c r="A27" s="29"/>
      <x:c r="B27" s="29"/>
      <x:c r="C27" s="29"/>
      <x:c r="D27" s="29"/>
      <x:c r="E27" s="29"/>
      <x:c r="F27" s="29"/>
    </x:row>
  </x:sheetData>
  <x:mergeCells>
    <x:mergeCell ref="A1:F2"/>
    <x:mergeCell ref="A4:F4"/>
    <x:mergeCell ref="A16:F16"/>
    <x:mergeCell ref="A17:F23"/>
    <x:mergeCell ref="A25:F27"/>
  </x:mergeCells>
  <x:pageMargins left="0.7" right="0.7" top="0.75" bottom="0.75" header="0.3" footer="0.3"/>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28" hidden="0" customWidth="1"/>
    <x:col min="3" max="3" width="74" hidden="0" customWidth="1"/>
    <x:col min="4" max="4" width="58" hidden="0" customWidth="1"/>
    <x:col min="6" max="6" width="20" hidden="0" customWidth="1"/>
    <x:col min="7" max="7" width="10" hidden="0" customWidth="1"/>
    <x:col min="8" max="8" width="32" hidden="0" customWidth="1"/>
    <x:col min="5" max="5" width="26" hidden="0" customWidth="1"/>
  </x:cols>
  <x:sheetData>
    <x:row r="1">
      <x:c r="A1" s="1139" t="str">
        <x:v>GUIDE DE PREMIÈRE UTILISATION — LISEZ AVANT DE SAISIR</x:v>
      </x:c>
      <x:c r="B1" s="1139"/>
      <x:c r="C1" s="1139"/>
      <x:c r="D1" s="1139"/>
      <x:c r="E1" s="1139"/>
      <x:c r="F1" s="1139"/>
      <x:c r="G1" s="1139"/>
      <x:c r="H1" s="1139"/>
    </x:row>
    <x:row r="2">
      <x:c r="A2" s="978"/>
      <x:c r="B2" s="978"/>
      <x:c r="C2" s="978"/>
      <x:c r="D2" s="978"/>
      <x:c r="E2" s="978"/>
      <x:c r="F2" s="978"/>
      <x:c r="G2" s="978"/>
      <x:c r="H2" s="978"/>
    </x:row>
    <x:row r="4">
      <x:c r="A4" s="951" t="str">
        <x:v>Objectif : vous guider de la création du projet jusqu’au rapport. Les cellules jaunes sont à saisir; les cellules bleu clair sont calculées. Les onglets se parcourent de gauche à droite, puis ce guide se trouve en dernier.</x:v>
      </x:c>
      <x:c r="B4" s="951"/>
      <x:c r="C4" s="951"/>
      <x:c r="D4" s="951"/>
      <x:c r="E4" s="951"/>
      <x:c r="F4" s="951"/>
      <x:c r="G4" s="951"/>
      <x:c r="H4" s="951"/>
    </x:row>
    <x:row r="6">
      <x:c r="A6" s="979" t="str">
        <x:v>ÉTAPE</x:v>
      </x:c>
      <x:c r="B6" s="979" t="str">
        <x:v>FEUILLE</x:v>
      </x:c>
      <x:c r="C6" s="979" t="str">
        <x:v>CE QUE VOUS FAITES</x:v>
      </x:c>
      <x:c r="D6" s="979" t="str">
        <x:v>COMMENT SAVOIR QUE C’EST TERMINÉ</x:v>
      </x:c>
      <x:c r="F6" s="980" t="str">
        <x:v>LÉGENDE</x:v>
      </x:c>
      <x:c r="G6" s="980"/>
      <x:c r="H6" s="980"/>
    </x:row>
    <x:row r="7" ht="58" customHeight="1">
      <x:c r="A7" s="62" t="str">
        <x:v>1</x:v>
      </x:c>
      <x:c r="B7" s="62" t="str">
        <x:v>Projet</x:v>
      </x:c>
      <x:c r="C7" s="62" t="str">
        <x:v>Remplacez le nom de démonstration. Choisissez le mode, le site, les tensions, l’autonomie et les rendements adaptés.</x:v>
      </x:c>
      <x:c r="D7" s="62" t="str">
        <x:v>Les champs du projet décrivent bien l’installation étudiée.</x:v>
      </x:c>
      <x:c r="F7" s="981" t="str">
        <x:v>Jaune</x:v>
      </x:c>
      <x:c r="G7" s="982" t="str"/>
      <x:c r="H7" s="982" t="str">
        <x:v>Saisie ou sélection</x:v>
      </x:c>
    </x:row>
    <x:row r="8" ht="58" customHeight="1">
      <x:c r="A8" s="62" t="str">
        <x:v>2</x:v>
      </x:c>
      <x:c r="B8" s="62" t="str">
        <x:v>Projet — lignes matériel</x:v>
      </x:c>
      <x:c r="C8" s="62" t="str">
        <x:v>Dans chaque cellule jaune, ouvrez la flèche et choisissez un panneau, une batterie, un MPPT et un onduleur. Lisez la description et la puissance affichées à droite.</x:v>
      </x:c>
      <x:c r="D8" s="62" t="str">
        <x:v>Les quatre références ont une description; les références viennent des catalogues du classeur.</x:v>
      </x:c>
      <x:c r="F8" s="983" t="str">
        <x:v>Bleu clair</x:v>
      </x:c>
      <x:c r="G8" s="984" t="str"/>
      <x:c r="H8" s="984" t="str">
        <x:v>Résultat calculé</x:v>
      </x:c>
    </x:row>
    <x:row r="9" ht="58" customHeight="1">
      <x:c r="A9" s="62" t="str">
        <x:v>3</x:v>
      </x:c>
      <x:c r="B9" s="62" t="str">
        <x:v>Charges</x:v>
      </x:c>
      <x:c r="C9" s="62" t="str">
        <x:v>Choisissez les appareils dans la liste. La puissance indicative s’utilise si la colonne C reste vide; une valeur de plaque saisie en C prend priorité. Renseignez quantité, durée, part jour, facteur d’usage et criticité.</x:v>
      </x:c>
      <x:c r="D9" s="62" t="str">
        <x:v>La ligne TOTAL agrège les charges renseignées. Les puissances repères restent des estimations.</x:v>
      </x:c>
      <x:c r="F9" s="985" t="str">
        <x:v>Catalogue</x:v>
      </x:c>
      <x:c r="G9" s="986" t="str"/>
      <x:c r="H9" s="986" t="str">
        <x:v>Donnée constructeur avec lien source</x:v>
      </x:c>
    </x:row>
    <x:row r="10" ht="58" customHeight="1">
      <x:c r="A10" s="62" t="str">
        <x:v>4</x:v>
      </x:c>
      <x:c r="B10" s="62" t="str">
        <x:v>Climat</x:v>
      </x:c>
      <x:c r="C10" s="62" t="str">
        <x:v>Entrez l’irradiation quotidienne moyenne mensuelle dans le plan des panneaux (kWh/m²/j), pour les 12 mois. Ajoutez la température minimale de calcul si elle est connue.</x:v>
      </x:c>
      <x:c r="D10" s="62" t="str">
        <x:v>Le contrôle d’irradiation indique Oui et la puissance PV n’est plus vide.</x:v>
      </x:c>
      <x:c r="F10" s="985" t="str">
        <x:v>Climat vide</x:v>
      </x:c>
      <x:c r="G10" s="986" t="str"/>
      <x:c r="H10" s="986" t="str">
        <x:v>Le calcul PV reste incomplet</x:v>
      </x:c>
    </x:row>
    <x:row r="11" ht="58" customHeight="1">
      <x:c r="A11" s="62" t="str">
        <x:v>5</x:v>
      </x:c>
      <x:c r="B11" s="62" t="str">
        <x:v>Calculs</x:v>
      </x:c>
      <x:c r="C11" s="62" t="str">
        <x:v>Relisez énergie, puissance PV, série/parallèle, batterie, onduleur, groupe et contrôles MPPT/onduleur.</x:v>
      </x:c>
      <x:c r="D11" s="62" t="str">
        <x:v>Les messages “À vérifier” et “Climat à saisir” sont résolus ou compris.</x:v>
      </x:c>
    </x:row>
    <x:row r="12" ht="58" customHeight="1">
      <x:c r="A12" s="62" t="str">
        <x:v>6</x:v>
      </x:c>
      <x:c r="B12" s="62" t="str">
        <x:v>Cables - protections</x:v>
      </x:c>
      <x:c r="C12" s="62" t="str">
        <x:v>Entrez la tension, le courant et la longueur aller de chaque liaison. Examinez chute calculée et section retenue.</x:v>
      </x:c>
      <x:c r="D12" s="62" t="str">
        <x:v>Un professionnel a vérifié le mode de pose et l’ampacité; le calcul simplifié seul ne suffit pas.</x:v>
      </x:c>
      <x:c r="F12" s="987" t="str">
        <x:v>À NE PAS OUBLIER</x:v>
      </x:c>
      <x:c r="G12" s="987"/>
      <x:c r="H12" s="987"/>
    </x:row>
    <x:row r="13" ht="58" customHeight="1">
      <x:c r="A13" s="62" t="str">
        <x:v>7</x:v>
      </x:c>
      <x:c r="B13" s="62" t="str">
        <x:v>BOM</x:v>
      </x:c>
      <x:c r="C13" s="62" t="str">
        <x:v>Complétez les prix unitaires et les postes manquants (protections, coffrets, terre, pose, transport, taxes).</x:v>
      </x:c>
      <x:c r="D13" s="62" t="str">
        <x:v>Les quantités et le coût connu correspondent au devis réel.</x:v>
      </x:c>
      <x:c r="F13" s="931" t="str">
        <x:v>Enregistrez une copie par projet. Vérifiez toujours la fiche technique exacte du matériel avant achat. Les catalogues sont extensibles : ajoutez une nouvelle référence dans la première ligne vide du catalogue concerné, avec unité, source et paramètres électriques complets. N’écrasez pas les lignes déjà utilisées par les menus déroulants sans mettre à jour les listes dans Projet.</x:v>
      </x:c>
      <x:c r="G13" s="931"/>
      <x:c r="H13" s="931"/>
    </x:row>
    <x:row r="14" ht="58" customHeight="1">
      <x:c r="A14" s="62" t="str">
        <x:v>8</x:v>
      </x:c>
      <x:c r="B14" s="62" t="str">
        <x:v>Rapport</x:v>
      </x:c>
      <x:c r="C14" s="62" t="str">
        <x:v>Confirmez le nom, le site, le mode et les résultats. Dans Calc, exportez le rapport en PDF.</x:v>
      </x:c>
      <x:c r="D14" s="62" t="str">
        <x:v>La version remise ne comporte plus de données de démonstration ni d’entrées manquantes.</x:v>
      </x:c>
      <x:c r="F14" s="931"/>
      <x:c r="G14" s="931"/>
      <x:c r="H14" s="931"/>
    </x:row>
    <x:row r="15">
      <x:c r="F15" s="931"/>
      <x:c r="G15" s="931"/>
      <x:c r="H15" s="931"/>
    </x:row>
    <x:row r="16" ht="42" customHeight="1">
      <x:c r="A16" s="933" t="str">
        <x:v>AUTOMATISMES DE DIMENSIONNEMENT : dans Charges, sélectionnez les appareils. La puissance repère (K) est utilisée si la puissance réelle (C) est vide; la puissance de plaque saisie en C prend la priorité. Les résultats se recalculent à partir des lignes 6–205. Le champ PV, les modules batterie et les MPPT sont comptés selon les références sélectionnées. L’onduleur recommandé est le modèle catalogue de puissance continue immédiatement supérieure au besoin avec réserve; si le catalogue ne contient aucun modèle assez puissant, le classeur calcule le nombre théorique d’unités du plus grand modèle et signale le contrôle de parallélisme. Un onduleur ne se raccorde jamais en série. Le parallélisme AC doit être autorisé par la notice exacte du fabricant; sinon, sélectionner un modèle ou une architecture de puissance supérieure. Les valeurs du répertoire de charges sont des repères indicatifs, pas des données de plaque.</x:v>
      </x:c>
      <x:c r="B16" s="933"/>
      <x:c r="C16" s="933"/>
      <x:c r="D16" s="933"/>
      <x:c r="E16" s="933"/>
      <x:c r="F16" s="933"/>
      <x:c r="G16" s="933"/>
      <x:c r="H16" s="933"/>
    </x:row>
    <x:row r="17" ht="42" customHeight="1">
      <x:c r="A17" s="1009" t="str">
        <x:v>Limites de cette version : il s’agit d’un pré-dimensionnement. Aucun calcul automatique ne remplace l’étude des protections, la conformité de raccordement, la vérification des structures, les règles ASN/CRSE/Senelec et la validation par un concepteur qualifié. SOC horaire et durée de vie restent à documenter.</x:v>
      </x:c>
      <x:c r="B17" s="1009"/>
      <x:c r="C17" s="1009"/>
      <x:c r="D17" s="1009"/>
      <x:c r="E17" s="933"/>
      <x:c r="F17" s="933"/>
      <x:c r="G17" s="933"/>
      <x:c r="H17" s="933"/>
    </x:row>
    <x:row r="18" ht="42" customHeight="1">
      <x:c r="A18" s="933"/>
      <x:c r="B18" s="933"/>
      <x:c r="C18" s="933"/>
      <x:c r="D18" s="933"/>
      <x:c r="E18" s="933"/>
      <x:c r="F18" s="933"/>
      <x:c r="G18" s="933"/>
      <x:c r="H18" s="933"/>
    </x:row>
    <x:row r="19">
      <x:c r="A19" s="963" t="str">
        <x:v>FORMULES DE DIMENSIONNEMENT — VARIABLES, UNITÉS ET UTILISATION</x:v>
      </x:c>
      <x:c r="B19" s="963"/>
      <x:c r="C19" s="963"/>
      <x:c r="D19" s="963"/>
      <x:c r="E19" s="963"/>
      <x:c r="F19" s="963"/>
      <x:c r="G19" s="963"/>
      <x:c r="H19" s="963"/>
    </x:row>
    <x:row r="20">
      <x:c r="A20" s="934" t="str">
        <x:v>N°</x:v>
      </x:c>
      <x:c r="B20" s="934" t="str">
        <x:v>Calcul</x:v>
      </x:c>
      <x:c r="C20" s="934" t="str">
        <x:v>Formule de référence</x:v>
      </x:c>
      <x:c r="D20" s="934" t="str">
        <x:v>Variables / unités</x:v>
      </x:c>
      <x:c r="E20" s="934" t="str">
        <x:v>Règle de décision</x:v>
      </x:c>
      <x:c r="F20" s="934" t="str">
        <x:v>Contrôle requis</x:v>
      </x:c>
      <x:c r="G20" s="934" t="str">
        <x:v>Où dans le classeur ?</x:v>
      </x:c>
      <x:c r="H20" s="934" t="str">
        <x:v>Limite à connaître</x:v>
      </x:c>
    </x:row>
    <x:row r="21" ht="62" customHeight="1">
      <x:c r="A21" s="207" t="str">
        <x:v>1</x:v>
      </x:c>
      <x:c r="B21" s="207" t="str">
        <x:v>Énergie quotidienne</x:v>
      </x:c>
      <x:c r="C21" s="207" t="str">
        <x:v>Ejour = Σ (Qté × P retenue × h × facteur d’usage) / 1000</x:v>
      </x:c>
      <x:c r="D21" s="207" t="str">
        <x:v>P en W; h en h/j; E en kWh/j</x:v>
      </x:c>
      <x:c r="E21" s="207" t="str">
        <x:v>Plaque réelle prioritaire; repère catalogue si vide</x:v>
      </x:c>
      <x:c r="F21" s="207" t="str">
        <x:v>Comparer au compteur / factures; profil saisonnier</x:v>
      </x:c>
      <x:c r="G21" s="207" t="str">
        <x:v>Charges → Calculs B5–B6</x:v>
      </x:c>
      <x:c r="H21" s="207" t="str">
        <x:v>Inclure veille, pertes, simultanéité et moteurs</x:v>
      </x:c>
    </x:row>
    <x:row r="22" ht="62" customHeight="1">
      <x:c r="A22" s="207" t="str">
        <x:v>2</x:v>
      </x:c>
      <x:c r="B22" s="207" t="str">
        <x:v>Puissance simultanée</x:v>
      </x:c>
      <x:c r="C22" s="207" t="str">
        <x:v>Psim = Σ (Qté × P × facteur simultanéité)</x:v>
      </x:c>
      <x:c r="D22" s="207" t="str">
        <x:v>W; facteur entre 0 et 1</x:v>
      </x:c>
      <x:c r="E22" s="207" t="str">
        <x:v>Ajouter les courants d’appel moteurs</x:v>
      </x:c>
      <x:c r="F22" s="207" t="str">
        <x:v>Vérifier démarrage et surcharge onduleur</x:v>
      </x:c>
      <x:c r="G22" s="207" t="str">
        <x:v>Charges → Calculs B7</x:v>
      </x:c>
      <x:c r="H22" s="207" t="str">
        <x:v>La somme simple surestime ou sous-estime selon le profil</x:v>
      </x:c>
    </x:row>
    <x:row r="23" ht="62" customHeight="1">
      <x:c r="A23" s="207" t="str">
        <x:v>3</x:v>
      </x:c>
      <x:c r="B23" s="207" t="str">
        <x:v>Puissance champ PV</x:v>
      </x:c>
      <x:c r="C23" s="207" t="str">
        <x:v>Ppv (kWp) = Ejour / (HSP × PR) × (1 + réserve)</x:v>
      </x:c>
      <x:c r="D23" s="207" t="str">
        <x:v>HSP équivaut kWh/m²/j; PR et réserve en fraction</x:v>
      </x:c>
      <x:c r="E23" s="207" t="str">
        <x:v>La réserve est affichée dans Calculs B46</x:v>
      </x:c>
      <x:c r="F23" s="207" t="str">
        <x:v>Vérifier énergie mensuelle, ombrage et orientation</x:v>
      </x:c>
      <x:c r="G23" s="207" t="str">
        <x:v>Climat → Calculs B8–B10</x:v>
      </x:c>
      <x:c r="H23" s="207" t="str">
        <x:v>PR tient compte des pertes; le facteur doit être justifié</x:v>
      </x:c>
    </x:row>
    <x:row r="24" ht="62" customHeight="1">
      <x:c r="A24" s="207" t="str">
        <x:v>4</x:v>
      </x:c>
      <x:c r="B24" s="207" t="str">
        <x:v>Nombre de panneaux</x:v>
      </x:c>
      <x:c r="C24" s="207" t="str">
        <x:v>Npv = ARRONDI.SUP(1000 × Ppv / Pmodule)</x:v>
      </x:c>
      <x:c r="D24" s="207" t="str">
        <x:v>Wp par module; résultat entier</x:v>
      </x:c>
      <x:c r="E24" s="207" t="str">
        <x:v>Arrondir au module supérieur</x:v>
      </x:c>
      <x:c r="F24" s="207" t="str">
        <x:v>Recalculer puissance installée réelle</x:v>
      </x:c>
      <x:c r="G24" s="207" t="str">
        <x:v>Calculs B11–B12</x:v>
      </x:c>
      <x:c r="H24" s="207" t="str">
        <x:v>Recomposer les strings après arrondi</x:v>
      </x:c>
    </x:row>
    <x:row r="25" ht="62" customHeight="1">
      <x:c r="A25" s="207" t="str">
        <x:v>5</x:v>
      </x:c>
      <x:c r="B25" s="207" t="str">
        <x:v>Voc corrigé au froid</x:v>
      </x:c>
      <x:c r="C25" s="207" t="str">
        <x:v>Voc froid = Voc STC × [1 + βVoc × (Tmin − 25) / 100]</x:v>
      </x:c>
      <x:c r="D25" s="207" t="str">
        <x:v>V; βVoc en %/°C; Tmin en °C</x:v>
      </x:c>
      <x:c r="E25" s="207" t="str">
        <x:v>βVoc constructeur est généralement négatif</x:v>
      </x:c>
      <x:c r="F25" s="207" t="str">
        <x:v>Nserie × Voc froid &lt; Vdc max contrôleur/onduleur</x:v>
      </x:c>
      <x:c r="G25" s="207" t="str">
        <x:v>Calculs B25–B27</x:v>
      </x:c>
      <x:c r="H25" s="207" t="str">
        <x:v>Ajouter la marge et appliquer le code électrique local</x:v>
      </x:c>
    </x:row>
    <x:row r="26" ht="62" customHeight="1">
      <x:c r="A26" s="207" t="str">
        <x:v>6</x:v>
      </x:c>
      <x:c r="B26" s="207" t="str">
        <x:v>Tension de string</x:v>
      </x:c>
      <x:c r="C26" s="207" t="str">
        <x:v>Vstring = Nserie × Voc froid; Nserie max = partie entière(Vdc max MPPT / Voc froid)</x:v>
      </x:c>
      <x:c r="D26" s="207" t="str">
        <x:v>V DC</x:v>
      </x:c>
      <x:c r="E26" s="207" t="str">
        <x:v>Vstring à froid sous limite absolue; Vmp dans plage MPPT</x:v>
      </x:c>
      <x:c r="F26" s="207" t="str">
        <x:v>Comparer au Vdc max et à la fenêtre MPPT exacte</x:v>
      </x:c>
      <x:c r="G26" s="207" t="str">
        <x:v>Calculs B13, B26–B27</x:v>
      </x:c>
      <x:c r="H26" s="207" t="str">
        <x:v>Le nombre de modules en série est un maximum indicatif; vérifier Vmp</x:v>
      </x:c>
    </x:row>
    <x:row r="27" ht="62" customHeight="1">
      <x:c r="A27" s="207" t="str">
        <x:v>7</x:v>
      </x:c>
      <x:c r="B27" s="207" t="str">
        <x:v>Courant du champ</x:v>
      </x:c>
      <x:c r="C27" s="207" t="str">
        <x:v>Isc,total = Isc,module × Nbranches × facteurs de sécurité</x:v>
      </x:c>
      <x:c r="D27" s="207" t="str">
        <x:v>A DC</x:v>
      </x:c>
      <x:c r="E27" s="207" t="str">
        <x:v>Comparer au courant d’entrée et Isc max par MPPT</x:v>
      </x:c>
      <x:c r="F27" s="207" t="str">
        <x:v>Vérifier branches indépendantes et fusibles série</x:v>
      </x:c>
      <x:c r="G27" s="207" t="str">
        <x:v>Catalogue PV G / conversion H</x:v>
      </x:c>
      <x:c r="H27" s="207" t="str">
        <x:v>Le modèle ne calcule pas automatiquement les trackers</x:v>
      </x:c>
    </x:row>
    <x:row r="28" ht="62" customHeight="1">
      <x:c r="A28" s="207" t="str">
        <x:v>8</x:v>
      </x:c>
      <x:c r="B28" s="207" t="str">
        <x:v>Capacité batterie nominale</x:v>
      </x:c>
      <x:c r="C28" s="207" t="str">
        <x:v>Cnom (kWh) = Ecritique × jours autonomie / (DoD × ηbat × ηond)</x:v>
      </x:c>
      <x:c r="D28" s="207" t="str">
        <x:v>kWh; DoD, rendements en fraction</x:v>
      </x:c>
      <x:c r="E28" s="207" t="str">
        <x:v>Arrondir au nombre entier de modules compatibles</x:v>
      </x:c>
      <x:c r="F28" s="207" t="str">
        <x:v>Courant BMS, température et puissance de décharge</x:v>
      </x:c>
      <x:c r="G28" s="207" t="str">
        <x:v>Projet → Calculs B15–B18</x:v>
      </x:c>
      <x:c r="H28" s="207" t="str">
        <x:v>Utiliser capacités utiles et limites fabricant</x:v>
      </x:c>
    </x:row>
    <x:row r="29" ht="62" customHeight="1">
      <x:c r="A29" s="207" t="str">
        <x:v>9</x:v>
      </x:c>
      <x:c r="B29" s="207" t="str">
        <x:v>Capacité batterie en Ah</x:v>
      </x:c>
      <x:c r="C29" s="207" t="str">
        <x:v>Ah = 1000 × E (kWh) / Vbus (V)</x:v>
      </x:c>
      <x:c r="D29" s="207" t="str">
        <x:v>Ah; kWh; V</x:v>
      </x:c>
      <x:c r="E29" s="207" t="str">
        <x:v>Comparer au courant continu et courant de pointe</x:v>
      </x:c>
      <x:c r="F29" s="207" t="str">
        <x:v>Valider BMS, parallélisme, câbles et fusibles</x:v>
      </x:c>
      <x:c r="G29" s="207" t="str">
        <x:v>Calcul de contrôle à faire selon matériel</x:v>
      </x:c>
      <x:c r="H29" s="207" t="str">
        <x:v>La tension ne doit pas mélanger systèmes 48 V et haute tension</x:v>
      </x:c>
    </x:row>
    <x:row r="30" ht="62" customHeight="1">
      <x:c r="A30" s="207" t="str">
        <x:v>10</x:v>
      </x:c>
      <x:c r="B30" s="207" t="str">
        <x:v>Puissance onduleur</x:v>
      </x:c>
      <x:c r="C30" s="207" t="str">
        <x:v>Pbesoin = Psim × (1 + réserve) × facteur démarrage</x:v>
      </x:c>
      <x:c r="D30" s="207" t="str">
        <x:v>W continus; réserve en fraction; démarrage sans unité</x:v>
      </x:c>
      <x:c r="E30" s="207" t="str">
        <x:v>Choisir la puissance continue catalogue immédiatement supérieure</x:v>
      </x:c>
      <x:c r="F30" s="207" t="str">
        <x:v>Comparer batterie, tension DC, phases et courant de pointe</x:v>
      </x:c>
      <x:c r="G30" s="207" t="str">
        <x:v>Calculs B19, B39–B43</x:v>
      </x:c>
      <x:c r="H30" s="207" t="str">
        <x:v>Parallèle AC uniquement si explicitement autorisé; jamais en série</x:v>
      </x:c>
    </x:row>
    <x:row r="31" ht="62" customHeight="1">
      <x:c r="A31" s="207" t="str">
        <x:v>11</x:v>
      </x:c>
      <x:c r="B31" s="207" t="str">
        <x:v>Régulateur MPPT</x:v>
      </x:c>
      <x:c r="C31" s="207" t="str">
        <x:v>Ichg ≈ Ppv,installée / Vbat; Ppv ≤ Ppv,max; Voc froid ≤ Vdc,max</x:v>
      </x:c>
      <x:c r="D31" s="207" t="str">
        <x:v>A, W, V</x:v>
      </x:c>
      <x:c r="E31" s="207" t="str">
        <x:v>Contrôler chacune de ces trois limites</x:v>
      </x:c>
      <x:c r="F31" s="207" t="str">
        <x:v>Courant Isc total et limites par tracker</x:v>
      </x:c>
      <x:c r="G31" s="207" t="str">
        <x:v>Calculs B30–B32</x:v>
      </x:c>
      <x:c r="H31" s="207" t="str">
        <x:v>Un seul indicateur de puissance nominale ne suffit pas</x:v>
      </x:c>
    </x:row>
    <x:row r="32" ht="62" customHeight="1">
      <x:c r="A32" s="207" t="str">
        <x:v>12</x:v>
      </x:c>
      <x:c r="B32" s="207" t="str">
        <x:v>Courant côté batterie</x:v>
      </x:c>
      <x:c r="C32" s="207" t="str">
        <x:v>Idc ≈ Pac / (Vbat,min × ηond)</x:v>
      </x:c>
      <x:c r="D32" s="207" t="str">
        <x:v>A DC; Pac W; ηond fraction</x:v>
      </x:c>
      <x:c r="E32" s="207" t="str">
        <x:v>Dimensionner conducteurs et protections sur courant maximal</x:v>
      </x:c>
      <x:c r="F32" s="207" t="str">
        <x:v>Vmin batterie, courant de pointe et déclassement thermique</x:v>
      </x:c>
      <x:c r="G32" s="207" t="str">
        <x:v>Cables - protections</x:v>
      </x:c>
      <x:c r="H32" s="207" t="str">
        <x:v>Calculer sur la tension minimale du système</x:v>
      </x:c>
    </x:row>
    <x:row r="33" ht="62" customHeight="1">
      <x:c r="A33" s="207" t="str">
        <x:v>13</x:v>
      </x:c>
      <x:c r="B33" s="207" t="str">
        <x:v>Chute de tension câble DC</x:v>
      </x:c>
      <x:c r="C33" s="207" t="str">
        <x:v>S (mm²) ≥ 2 × L × ρ × I / (V × ΔU)</x:v>
      </x:c>
      <x:c r="D33" s="207" t="str">
        <x:v>L aller m; ρ cuivre ≈0,0175 Ω·mm²/m; ΔU en V</x:v>
      </x:c>
      <x:c r="E33" s="207" t="str">
        <x:v>Choisir section normalisée supérieure</x:v>
      </x:c>
      <x:c r="F33" s="207" t="str">
        <x:v>Puis vérifier ampacité, pose, température, court-circuit</x:v>
      </x:c>
      <x:c r="G33" s="207" t="str">
        <x:v>Cables - protections G6:G8</x:v>
      </x:c>
      <x:c r="H33" s="207" t="str">
        <x:v>Formule résistive simplifiée; longueur aller-retour intégrée par 2</x:v>
      </x:c>
    </x:row>
    <x:row r="34" ht="62" customHeight="1">
      <x:c r="A34" s="207" t="str">
        <x:v>14</x:v>
      </x:c>
      <x:c r="B34" s="207" t="str">
        <x:v>Énergie mensuelle</x:v>
      </x:c>
      <x:c r="C34" s="207" t="str">
        <x:v>Emois = Ppv (kWp) × HSPmois (kWh/m²/j) × jours × PR</x:v>
      </x:c>
      <x:c r="D34" s="207" t="str">
        <x:v>kWh/mois</x:v>
      </x:c>
      <x:c r="E34" s="207" t="str">
        <x:v>Comparer besoin mensuel et production estimée</x:v>
      </x:c>
      <x:c r="F34" s="207" t="str">
        <x:v>Inclinaison, azimut, ombrage, poussière, température</x:v>
      </x:c>
      <x:c r="G34" s="207" t="str">
        <x:v>Climat colonne E</x:v>
      </x:c>
      <x:c r="H34" s="207" t="str">
        <x:v>Utiliser les résultats PVGIS ou données locales de site</x:v>
      </x:c>
    </x:row>
    <x:row r="35" ht="62" customHeight="1">
      <x:c r="A35" s="207" t="str">
        <x:v>15</x:v>
      </x:c>
      <x:c r="B35" s="207" t="str">
        <x:v>Batterie — SOC pas horaire</x:v>
      </x:c>
      <x:c r="C35" s="207" t="str">
        <x:v>SOCt = SOCt−1 + (ηcharge × Echarge − Edecharge / ηdécharge) / Cnom</x:v>
      </x:c>
      <x:c r="D35" s="207" t="str">
        <x:v>SOC en fraction ou %; énergies en kWh</x:v>
      </x:c>
      <x:c r="E35" s="207" t="str">
        <x:v>0 ≤ SOC ≤ 1; signaler déficit si SOC &lt; SOCmin</x:v>
      </x:c>
      <x:c r="F35" s="207" t="str">
        <x:v>Profils horaires de charge et production</x:v>
      </x:c>
      <x:c r="G35" s="207" t="str">
        <x:v>À construire pour étude détaillée</x:v>
      </x:c>
      <x:c r="H35" s="207" t="str">
        <x:v>Pas de simulation horaire dans cette version</x:v>
      </x:c>
    </x:row>
    <x:row r="36" ht="62" customHeight="1">
      <x:c r="A36" s="207" t="str">
        <x:v>16</x:v>
      </x:c>
      <x:c r="B36" s="207" t="str">
        <x:v>Durée de vie / cycles</x:v>
      </x:c>
      <x:c r="C36" s="207" t="str">
        <x:v>Ncycles ≈ jours × années; durée selon cycles garantis, DoD, T et C-rate</x:v>
      </x:c>
      <x:c r="D36" s="207" t="str">
        <x:v>cycles/an, années</x:v>
      </x:c>
      <x:c r="E36" s="207" t="str">
        <x:v>Prendre courbe constructeur pour DoD et température</x:v>
      </x:c>
      <x:c r="F36" s="207" t="str">
        <x:v>Garanties, capacité résiduelle et cycles</x:v>
      </x:c>
      <x:c r="G36" s="207" t="str">
        <x:v>Documentation fabricant</x:v>
      </x:c>
      <x:c r="H36" s="207" t="str">
        <x:v>Pas de durée de vie automatique dans cette version</x:v>
      </x:c>
    </x:row>
    <x:row r="37" ht="62" customHeight="1">
      <x:c r="A37" s="207" t="str">
        <x:v>17</x:v>
      </x:c>
      <x:c r="B37" s="207" t="str">
        <x:v>Retour simple</x:v>
      </x:c>
      <x:c r="C37" s="207" t="str">
        <x:v>ROI (années) = coût installé / économies annuelles nettes</x:v>
      </x:c>
      <x:c r="D37" s="207" t="str">
        <x:v>FCFA; tarif FCFA/kWh; kWh/an</x:v>
      </x:c>
      <x:c r="E37" s="207" t="str">
        <x:v>Économies = autoconsommation × tarif + vente − entretien</x:v>
      </x:c>
      <x:c r="F37" s="207" t="str">
        <x:v>Tarif Senelec / contrat, remplacement et actualisation</x:v>
      </x:c>
      <x:c r="G37" s="207" t="str">
        <x:v>Projet / BOM</x:v>
      </x:c>
      <x:c r="H37" s="207" t="str">
        <x:v>Le ROI simple n’est pas une VAN ni un tarif vérifié</x:v>
      </x:c>
    </x:row>
    <x:row r="38" ht="62" customHeight="1">
      <x:c r="A38" s="207" t="str">
        <x:v>18</x:v>
      </x:c>
      <x:c r="B38" s="207" t="str">
        <x:v>CO₂ évité</x:v>
      </x:c>
      <x:c r="C38" s="207" t="str">
        <x:v>CO2 (t/an) = énergie solaire substituée × facteur réseau / 1000</x:v>
      </x:c>
      <x:c r="D38" s="207" t="str">
        <x:v>kWh/an; kgCO₂/kWh</x:v>
      </x:c>
      <x:c r="E38" s="207" t="str">
        <x:v>Renseigner facteur documenté adapté au Sénégal</x:v>
      </x:c>
      <x:c r="F38" s="207" t="str">
        <x:v>Énergie autoconsommée, facteur source et année</x:v>
      </x:c>
      <x:c r="G38" s="207" t="str">
        <x:v>Projet → Calculs B23</x:v>
      </x:c>
      <x:c r="H38" s="207" t="str">
        <x:v>Valeur non fournie par défaut, faute de facteur daté vérifié</x:v>
      </x:c>
    </x:row>
    <x:row r="39" ht="62" customHeight="1">
      <x:c r="A39" s="207" t="str">
        <x:v>19</x:v>
      </x:c>
      <x:c r="B39" s="207" t="str">
        <x:v>Groupe électrogène</x:v>
      </x:c>
      <x:c r="C39" s="207" t="str">
        <x:v>Sgroupe (kVA) ≥ Pcharges (kW) / (cos φ × facteur charge)</x:v>
      </x:c>
      <x:c r="D39" s="207" t="str">
        <x:v>kVA; kW; cos φ</x:v>
      </x:c>
      <x:c r="E39" s="207" t="str">
        <x:v>Ajouter marge transitoire et altitude/température</x:v>
      </x:c>
      <x:c r="F39" s="207" t="str">
        <x:v>Démarrage, chargeur et fonctionnement simultané</x:v>
      </x:c>
      <x:c r="G39" s="207" t="str">
        <x:v>Calculs B24</x:v>
      </x:c>
      <x:c r="H39" s="207" t="str">
        <x:v>Estimation seule; vérifier constructeur et stratégie hybride</x:v>
      </x:c>
    </x:row>
    <x:row r="40" ht="62" customHeight="1">
      <x:c r="A40" s="207" t="str">
        <x:v>20</x:v>
      </x:c>
      <x:c r="B40" s="207" t="str">
        <x:v>Compatibilité de tension</x:v>
      </x:c>
      <x:c r="C40" s="207" t="str">
        <x:v>Vbus proche de Vbatterie; Vbat,min ≤ Vbus ≤ Vbat,max onduleur</x:v>
      </x:c>
      <x:c r="D40" s="207" t="str">
        <x:v>V DC nominal et plage</x:v>
      </x:c>
      <x:c r="E40" s="207" t="str">
        <x:v>Tout conflit = arrêt de conception</x:v>
      </x:c>
      <x:c r="F40" s="207" t="str">
        <x:v>Technologie, BMS, communication et liste compatibilité</x:v>
      </x:c>
      <x:c r="G40" s="207" t="str">
        <x:v>Calculs B34–B38</x:v>
      </x:c>
      <x:c r="H40" s="207" t="str">
        <x:v>Compatibilité électrique ne certifie pas compatibilité firmware/BMS</x:v>
      </x:c>
    </x:row>
    <x:row r="42">
      <x:c r="A42" s="976" t="str">
        <x:v>Ajout de matériel : 1) première ligne vide du catalogue; 2) SKU unique; 3) compléter toutes les caractéristiques avec unités; 4) coller le lien de la fiche officielle exacte; 5) respecter la section de catalogue (MPPT ou onduleur); 6) sélectionner la référence dans Projet; 7) vérifier les alertes de tension, puissance, courant et compatibilité constructeur. Une donnée manquante ne doit pas être remplacée par une estimation silencieuse.</x:v>
      </x:c>
      <x:c r="B42" s="976"/>
      <x:c r="C42" s="976"/>
      <x:c r="D42" s="976"/>
      <x:c r="E42" s="976"/>
      <x:c r="F42" s="976"/>
      <x:c r="G42" s="976"/>
      <x:c r="H42" s="976"/>
    </x:row>
    <x:row r="43">
      <x:c r="A43" s="976"/>
      <x:c r="B43" s="976"/>
      <x:c r="C43" s="976"/>
      <x:c r="D43" s="976"/>
      <x:c r="E43" s="976"/>
      <x:c r="F43" s="976"/>
      <x:c r="G43" s="976"/>
      <x:c r="H43" s="976"/>
    </x:row>
    <x:row r="44">
      <x:c r="A44" s="976"/>
      <x:c r="B44" s="976"/>
      <x:c r="C44" s="976"/>
      <x:c r="D44" s="976"/>
      <x:c r="E44" s="976"/>
      <x:c r="F44" s="976"/>
      <x:c r="G44" s="976"/>
      <x:c r="H44" s="976"/>
    </x:row>
    <x:row r="46">
      <x:c r="A46" s="977" t="str">
        <x:v>Les références intégrées sont des exemples sourcés à partir de fiches fabricant consultées. La base évolue et ne représente pas la totalité des modèles vendus au Sénégal. Avant achat, vérifier révision, plage électrique, homologations, disponibilité, garantie et compatibilité dans la documentation locale du produit.</x:v>
      </x:c>
      <x:c r="B46" s="977"/>
      <x:c r="C46" s="977"/>
      <x:c r="D46" s="977"/>
      <x:c r="E46" s="977"/>
      <x:c r="F46" s="977"/>
      <x:c r="G46" s="977"/>
      <x:c r="H46" s="977"/>
    </x:row>
    <x:row r="47">
      <x:c r="A47" s="977"/>
      <x:c r="B47" s="977"/>
      <x:c r="C47" s="977"/>
      <x:c r="D47" s="977"/>
      <x:c r="E47" s="977"/>
      <x:c r="F47" s="977"/>
      <x:c r="G47" s="977"/>
      <x:c r="H47" s="977"/>
    </x:row>
    <x:row r="48">
      <x:c r="A48" s="977"/>
      <x:c r="B48" s="977"/>
      <x:c r="C48" s="977"/>
      <x:c r="D48" s="977"/>
      <x:c r="E48" s="977"/>
      <x:c r="F48" s="977"/>
      <x:c r="G48" s="977"/>
      <x:c r="H48" s="977"/>
    </x:row>
    <x:row r="49">
      <x:c r="A49" s="977"/>
      <x:c r="B49" s="977"/>
      <x:c r="C49" s="977"/>
      <x:c r="D49" s="977"/>
      <x:c r="E49" s="977"/>
      <x:c r="F49" s="977"/>
      <x:c r="G49" s="977"/>
      <x:c r="H49" s="977"/>
    </x:row>
  </x:sheetData>
  <x:mergeCells>
    <x:mergeCell ref="A1:H2"/>
    <x:mergeCell ref="A4:H4"/>
    <x:mergeCell ref="F6:H6"/>
    <x:mergeCell ref="F12:H12"/>
    <x:mergeCell ref="F13:H17"/>
    <x:mergeCell ref="A19:H19"/>
    <x:mergeCell ref="A42:H44"/>
    <x:mergeCell ref="A46:H49"/>
    <x:mergeCell ref="A16:H18"/>
  </x:mergeCells>
  <x:pageMargins left="0.7" right="0.7" top="0.75" bottom="0.75" header="0.3" footer="0.3"/>
</x:worksheet>
</file>